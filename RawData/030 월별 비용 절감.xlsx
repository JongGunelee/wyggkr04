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03 금일작업\Downloads\"/>
    </mc:Choice>
  </mc:AlternateContent>
  <xr:revisionPtr revIDLastSave="0" documentId="13_ncr:1_{49AE4491-50BB-438C-8C1C-2615FAB6BE1B}" xr6:coauthVersionLast="47" xr6:coauthVersionMax="47" xr10:uidLastSave="{00000000-0000-0000-0000-000000000000}"/>
  <bookViews>
    <workbookView xWindow="-45" yWindow="0" windowWidth="14490" windowHeight="15525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5" i="24" l="1"/>
  <c r="F255" i="24"/>
  <c r="E255" i="24"/>
  <c r="G254" i="24" l="1"/>
  <c r="F253" i="24"/>
  <c r="G253" i="24" s="1"/>
  <c r="G252" i="24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F233" i="24"/>
  <c r="G233" i="24" s="1"/>
  <c r="F232" i="24"/>
  <c r="G232" i="24" s="1"/>
  <c r="F231" i="24"/>
  <c r="G231" i="24" s="1"/>
  <c r="F230" i="24"/>
  <c r="G230" i="24" s="1"/>
  <c r="F229" i="24"/>
  <c r="G229" i="24" s="1"/>
  <c r="G228" i="24"/>
  <c r="F227" i="24"/>
  <c r="G227" i="24" s="1"/>
  <c r="F226" i="24"/>
  <c r="G226" i="24" s="1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<sst xmlns="http://schemas.openxmlformats.org/spreadsheetml/2006/main" count="784" uniqueCount="408">
  <si>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</si>
  <si>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</si>
  <si>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</si>
  <si>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</si>
  <si>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</si>
  <si>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</si>
  <si>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</si>
  <si>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</si>
  <si>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</si>
  <si>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</si>
  <si>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</si>
  <si>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</si>
  <si>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</si>
  <si>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</si>
  <si>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</si>
  <si>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</si>
  <si>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</si>
  <si>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</si>
  <si>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</si>
  <si>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</si>
  <si>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</si>
  <si>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</si>
  <si>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</si>
  <si>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</si>
  <si>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</si>
  <si>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</si>
  <si>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</si>
  <si>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</si>
  <si>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</si>
  <si>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</si>
  <si>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</si>
  <si>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</si>
  <si>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</si>
  <si>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</si>
  <si>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</si>
  <si>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</si>
  <si>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</si>
  <si>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</si>
  <si>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</si>
  <si>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</si>
  <si>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</si>
  <si>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</si>
  <si>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</si>
  <si>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</si>
  <si>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</si>
  <si>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</si>
  <si>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</si>
  <si>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</si>
  <si>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</si>
  <si>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</si>
  <si>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</si>
  <si>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</si>
  <si>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</si>
  <si>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</si>
  <si>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</si>
  <si>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</si>
  <si>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</si>
  <si>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</si>
  <si>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</si>
  <si>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</si>
  <si>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</si>
  <si>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</si>
  <si>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</si>
  <si>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</si>
  <si>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</si>
  <si>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</si>
  <si>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</si>
  <si>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</si>
  <si>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</si>
  <si>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</si>
  <si>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</si>
  <si>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</si>
  <si>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</si>
  <si>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</si>
  <si>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</si>
  <si>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</si>
  <si>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</si>
  <si>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</si>
  <si>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</si>
  <si>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</si>
  <si>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</si>
  <si>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</si>
  <si>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</si>
  <si>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</si>
  <si>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</si>
  <si>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</si>
  <si>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</si>
  <si>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</si>
  <si>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</si>
  <si>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</si>
  <si>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</si>
  <si>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</si>
  <si>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</si>
  <si>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</si>
  <si>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</si>
  <si>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</si>
  <si>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</si>
  <si>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</si>
  <si>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</si>
  <si>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</si>
  <si>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</si>
  <si>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</si>
  <si>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</si>
  <si>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</si>
  <si>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</si>
  <si>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</si>
  <si>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</si>
  <si>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</si>
  <si>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</si>
  <si>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</si>
  <si>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</si>
  <si>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</si>
  <si>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</si>
  <si>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</si>
  <si>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</si>
  <si>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</si>
  <si>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</si>
  <si>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</si>
  <si>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</si>
  <si>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</si>
  <si>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</si>
  <si>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</si>
  <si>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</si>
  <si>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</si>
  <si>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</si>
  <si>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</si>
  <si>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</si>
  <si>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</si>
  <si>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</si>
  <si>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</si>
  <si>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</si>
  <si>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</si>
  <si>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</si>
  <si>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</si>
  <si>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</si>
  <si>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</si>
  <si>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</si>
  <si>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</si>
  <si>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</si>
  <si>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</si>
  <si>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</si>
  <si>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</si>
  <si>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</si>
  <si>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</si>
  <si>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</si>
  <si>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</si>
  <si>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</si>
  <si>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</si>
  <si>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</si>
  <si>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</si>
  <si>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</si>
  <si>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</si>
  <si>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</si>
  <si>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</si>
  <si>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</si>
  <si>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</si>
  <si>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</si>
  <si>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</si>
  <si>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</si>
  <si>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</si>
  <si>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</si>
  <si>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</si>
  <si>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</si>
  <si>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</si>
  <si>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</si>
  <si>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</si>
  <si>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</si>
  <si>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</si>
  <si>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</si>
  <si>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</si>
  <si>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</si>
  <si>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</si>
  <si>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</si>
  <si>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</si>
  <si>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</si>
  <si>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</si>
  <si>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</si>
  <si>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</si>
  <si>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</si>
  <si>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</si>
  <si>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</si>
  <si>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</si>
  <si>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</si>
  <si>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</si>
  <si>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</si>
  <si>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</si>
  <si>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</si>
  <si>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</si>
  <si>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</si>
  <si>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</si>
  <si>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</si>
  <si>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</si>
  <si>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</si>
  <si>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</si>
  <si>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</si>
  <si>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</si>
  <si>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</si>
  <si>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</si>
  <si>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</si>
  <si>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</si>
  <si>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</si>
  <si>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</si>
  <si>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</si>
  <si>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</si>
  <si>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</si>
  <si>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</si>
  <si>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</si>
  <si>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</si>
  <si>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</si>
  <si>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</si>
  <si>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</si>
  <si>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</si>
  <si>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</si>
  <si>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</si>
  <si>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</si>
  <si>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</si>
  <si>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</si>
  <si>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</si>
  <si>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</si>
  <si>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</si>
  <si>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</si>
  <si>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</si>
  <si>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</si>
  <si>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</si>
  <si>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</si>
  <si>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</si>
  <si>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</si>
  <si>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</si>
  <si>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</si>
  <si>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</si>
  <si>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</si>
  <si>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</si>
  <si>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</si>
  <si>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</si>
  <si>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</si>
  <si>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</si>
  <si>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</si>
  <si>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</si>
  <si>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</si>
  <si>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</si>
  <si>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</si>
  <si>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</si>
  <si>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</si>
  <si>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</si>
  <si>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</si>
  <si>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</si>
  <si>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</si>
  <si>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</si>
  <si>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</si>
  <si>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</si>
  <si>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</si>
  <si>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</si>
  <si>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</si>
  <si>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</si>
  <si>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</si>
  <si>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</si>
  <si>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</si>
  <si>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</si>
  <si>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</si>
  <si>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</si>
  <si>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</si>
  <si>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</si>
  <si>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</si>
  <si>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</si>
  <si>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</si>
  <si>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</si>
  <si>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</si>
  <si>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</si>
  <si>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</si>
  <si>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</si>
  <si>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</si>
  <si>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</si>
  <si>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</si>
  <si>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</si>
  <si>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</si>
  <si>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</si>
  <si>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</si>
  <si>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</si>
  <si>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</si>
  <si>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</si>
  <si>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</si>
  <si>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</si>
  <si>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</si>
  <si>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</si>
  <si>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</si>
  <si>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</si>
  <si>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</si>
  <si>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</si>
  <si>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</si>
  <si>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</si>
  <si>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</si>
  <si>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</si>
  <si>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</si>
  <si>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</si>
  <si>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</si>
  <si>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</si>
  <si>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</si>
  <si>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</si>
  <si>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</si>
  <si>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</si>
  <si>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</si>
  <si>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</si>
  <si>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</si>
  <si>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</si>
  <si>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</si>
  <si>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</si>
  <si>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</si>
  <si>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</si>
  <si>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</si>
  <si>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</si>
  <si>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</si>
  <si>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</si>
  <si>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</si>
  <si>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</si>
  <si>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</si>
  <si>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</si>
  <si>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</si>
  <si>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</si>
  <si>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</si>
  <si>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</si>
  <si>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</si>
  <si>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</si>
  <si>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</si>
  <si>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</si>
  <si>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</si>
  <si>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</si>
  <si>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</si>
  <si>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</si>
  <si>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</si>
  <si>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</si>
  <si>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</si>
  <si>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</si>
  <si>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</si>
  <si>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</si>
  <si>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</si>
  <si>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</si>
  <si>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</si>
  <si>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</si>
  <si>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</si>
  <si>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</si>
  <si>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</si>
  <si>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</si>
  <si>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</si>
  <si>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</si>
  <si>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</si>
  <si>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</si>
  <si>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</si>
  <si>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</si>
  <si>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</si>
  <si>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</si>
  <si>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</si>
  <si>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</si>
  <si>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</si>
  <si>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</si>
  <si>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</si>
  <si>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</si>
  <si>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</si>
  <si>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</si>
  <si>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</si>
  <si>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</si>
  <si>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</si>
  <si>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</si>
  <si>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</si>
  <si>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</si>
  <si>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</si>
  <si>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</si>
  <si>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</si>
  <si>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</si>
  <si>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</si>
  <si>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</si>
  <si>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</si>
  <si>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</si>
  <si>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</si>
  <si>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</si>
  <si>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</si>
  <si>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</si>
  <si>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</si>
  <si>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</si>
  <si>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</si>
  <si>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</si>
  <si>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</si>
  <si>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</si>
  <si>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</si>
  <si>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</si>
  <si>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</si>
  <si>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</si>
  <si>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</si>
  <si>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</si>
  <si>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</si>
  <si>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</si>
  <si>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</si>
  <si>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</si>
  <si>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</si>
  <si>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</si>
  <si>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</si>
  <si>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</si>
  <si>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</si>
  <si>
    <t>어린이집 1층 세면대 수리시 2층 묶음(무상 처리)</t>
    <phoneticPr fontId="1" type="noConversion"/>
  </si>
  <si>
    <t>https://photos.app.goo.gl/ot4t192AUqLwPsMbA</t>
    <phoneticPr fontId="1" type="noConversion"/>
  </si>
  <si>
    <t>https://photos.app.goo.gl/zV6ZG6ftCHqfXy6DA</t>
    <phoneticPr fontId="1" type="noConversion"/>
  </si>
  <si>
    <t>●24년 상반기 1세대 집행비 : 603,075(기계 최소 인건비))
5월 3세대 묶음 : 8-107(분배기)+2-208(건조대)+8-410(건조대)</t>
    <phoneticPr fontId="1" type="noConversion"/>
  </si>
  <si>
    <t>5월 3세대 묶음</t>
    <phoneticPr fontId="1" type="noConversion"/>
  </si>
  <si>
    <t>5월 어린이집 2층 세면대 수리 : 70,1975원</t>
    <phoneticPr fontId="1" type="noConversion"/>
  </si>
  <si>
    <t>5월 어린이집 2층</t>
    <phoneticPr fontId="1" type="noConversion"/>
  </si>
  <si>
    <t>기숙사 및 사택 긴급 보수(기계)-2차</t>
    <phoneticPr fontId="1" type="noConversion"/>
  </si>
  <si>
    <t>●●● 냉온수 수전=2건/위생도기=3건/분배기=4건/건조대=1건
◎6월10일~11일(2일)간 모두 묶음 작업
-2-105(분배기 교체)/7-104 (양변기 교체)
-8-107(세탁기 냉온수 수전)/8-107(세면기 교체)
-8-207(세탁기 냉온수 수전)/8-207(양변기 교체)
-8-207(분배기 교체)/8-207(빨래 건조대 설치)
-8-504(분배기 교체)/9-301(분배기 교체) 
※※※07월~08월말 절감액 확정 예정
◆◆◆접수견적 기준
-세탁기용 냉온수 수전 및 세면대 교체 : 1건당=&gt; 2,054,000(견적 접수)
-위생도기 교체 : 1건당 =&gt; 705,000 (견적 접수)
-난방분배기 및 빨래건조대 : 1건당 =&gt; 603,075(최소인건비)
→산식=((2,054,000*2)+(705,000*1)+(603,075*5))*1.075(Fee)</t>
    <phoneticPr fontId="1" type="noConversion"/>
  </si>
  <si>
    <t>◆◆◆접수견적 기준</t>
  </si>
  <si>
    <t>https://photos.app.goo.gl/3tJTAcuxYdqK2JJAA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</si>
</sst>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photos.app.goo.gl/zV6ZG6ftCHqfXy6DA" TargetMode="External"/><Relationship Id="rId1" Type="http://schemas.openxmlformats.org/officeDocument/2006/relationships/hyperlink" Target="https://photos.app.goo.gl/ot4t192AUqLwPs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5"/>
  <sheetViews>
    <sheetView tabSelected="1" zoomScaleNormal="100" workbookViewId="0">
      <pane xSplit="1" ySplit="3" topLeftCell="B251" activePane="bottomRight" state="frozen"/>
      <selection activeCell="H24" sqref="H24"/>
      <selection pane="topRight" activeCell="H24" sqref="H24"/>
      <selection pane="bottomLeft" activeCell="H24" sqref="H24"/>
      <selection pane="bottomRight" activeCell="B255" sqref="B255"/>
    </sheetView>
  </sheetViews>
  <sheetFormatPr defaultRowHeight="16.5"/>
  <cols>
    <col min="1" max="1" width="6.125" style="19" customWidth="1"/>
    <col min="2" max="2" width="13.625" bestFit="1" customWidth="1"/>
    <col min="3" max="3" width="21.25" customWidth="1"/>
    <col min="4" max="4" width="45.5" customWidth="1"/>
    <col min="5" max="5" width="12.625" style="6" bestFit="1" customWidth="1"/>
    <col min="6" max="6" width="13.875" customWidth="1"/>
    <col min="7" max="7" width="14.75" customWidth="1"/>
    <col min="8" max="8" width="64.125" style="13" customWidth="1"/>
    <col min="9" max="9" width="10.2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7.25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7.25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3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7.25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49.5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7.25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49.5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49.5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49.5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7.25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7.25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7.25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66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49.5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7.25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7.25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3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7.25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7.25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7.25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7.25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7.25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7.25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7.25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7.25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7.25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7.25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15.5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7.25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15.5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15.5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7.25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7.25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7.25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15.5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7.25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7.25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15.5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7.25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3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3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7.25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49.5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7.25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7.25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3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49.5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7.25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7.25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3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49.5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7.25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15.5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7.25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49.5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7.25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15.5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7.25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7.25">
      <c r="A62" s="19">
        <v>59</v>
      </c>
      <c r="B62" s="7"/>
      <c r="C62" s="8"/>
      <c r="E62" s="9"/>
      <c r="F62" s="5"/>
      <c r="G62" s="5"/>
      <c r="H62" s="12"/>
    </row>
    <row r="63" spans="1:8" ht="33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7.25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3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7.25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7.25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15.5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7.25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7.25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3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7.25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15.5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7.25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49.5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3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3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3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3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3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3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3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3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3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3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6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6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49.5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49.5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49.5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3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49.5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49.5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49.5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6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49.5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3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3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7.25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7.25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3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7.25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7.25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7.25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7.25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7.25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7.25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7.25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7.25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3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7.25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7.25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3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7.25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7.25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7.25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7.25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7.25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7.25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7.25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7.25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7.25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7.25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7.25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7.25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7.25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3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3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7.25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7.25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7.25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7.25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7.25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7.25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7.25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3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7.25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7.25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7.25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7.25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7.25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3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7.25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7.25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7.25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7.25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7.25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3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7.25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7.25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7.25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7.25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7.25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7.25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7.25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7.25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7.25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7.25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3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7.25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7.25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7.25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7.25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7.25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3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7.25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7.25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7.25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7.25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7.25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3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3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7.25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7.25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3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7.25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7.25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7.25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7.25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7.25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3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7.25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3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3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3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7.25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3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3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7.25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7.25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7.25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7.25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7.25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49.5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7.25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3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7.25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7.25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3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7.25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7.25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7.25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7.25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7.25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3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3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7.25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7.25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7.25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7.25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7.25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7.25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7.25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7.25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3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7.25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7.25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3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99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3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7.25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7.25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49.5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7.25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3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7.25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7.25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3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7.25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7.25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3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3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7.25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7.25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7.25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7.25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7.25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7.25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7.25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7.25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3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3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7.25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7.25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3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7.25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7.25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15.5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 t="shared" ref="G248:G255" si="15">E248-F248</f>
        <v>-3142860</v>
      </c>
      <c r="H248" s="25" t="s">
        <v>325</v>
      </c>
    </row>
    <row r="249" spans="1:8" ht="82.5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 t="shared" si="15"/>
        <v>-3294677</v>
      </c>
      <c r="H249" s="25" t="s">
        <v>327</v>
      </c>
    </row>
    <row r="250" spans="1:8" ht="66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 t="shared" si="15"/>
        <v>-1744725</v>
      </c>
      <c r="H250" s="25" t="s">
        <v>329</v>
      </c>
    </row>
    <row r="251" spans="1:8" ht="49.5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 t="shared" si="15"/>
        <v>-4778600</v>
      </c>
      <c r="H251" s="25" t="s">
        <v>332</v>
      </c>
    </row>
    <row r="252" spans="1:8" ht="99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 t="shared" si="15"/>
        <v>-5324475</v>
      </c>
      <c r="H252" s="25" t="s">
        <v>333</v>
      </c>
    </row>
    <row r="253" spans="1:8" ht="33">
      <c r="A253" s="19">
        <v>250</v>
      </c>
      <c r="B253" s="7">
        <v>46173</v>
      </c>
      <c r="C253" s="8" t="s">
        <v>266</v>
      </c>
      <c r="D253" s="26" t="s">
        <v>326</v>
      </c>
      <c r="E253" s="6">
        <v>603075</v>
      </c>
      <c r="F253" s="6">
        <f>603075*3</f>
        <v>1809225</v>
      </c>
      <c r="G253" s="5">
        <f t="shared" si="15"/>
        <v>-1206150</v>
      </c>
      <c r="H253" s="12" t="s">
        <v>400</v>
      </c>
    </row>
    <row r="254" spans="1:8" ht="17.25">
      <c r="A254" s="19">
        <v>251</v>
      </c>
      <c r="B254" s="7">
        <v>46173</v>
      </c>
      <c r="C254" s="8" t="s">
        <v>299</v>
      </c>
      <c r="D254" t="s">
        <v>397</v>
      </c>
      <c r="E254" s="6">
        <v>0</v>
      </c>
      <c r="F254" s="6">
        <v>701975</v>
      </c>
      <c r="G254" s="5">
        <f t="shared" si="15"/>
        <v>-701975</v>
      </c>
      <c r="H254" s="13" t="s">
        <v>402</v>
      </c>
    </row>
    <row r="255" spans="1:8" ht="214.5">
      <c r="A255" s="19">
        <v>252</v>
      </c>
      <c r="B255" s="7">
        <v>46203</v>
      </c>
      <c r="C255" s="8" t="s">
        <v>266</v>
      </c>
      <c r="D255" t="s">
        <v>404</v>
      </c>
      <c r="E255" s="6">
        <f>3330000*1.075</f>
        <v>3579750</v>
      </c>
      <c r="F255" s="6">
        <f>((2054000*2)+(705000*1)+(603075*5))*1.075</f>
        <v>8415503.125</v>
      </c>
      <c r="G255" s="5">
        <f t="shared" si="15"/>
        <v>-4835753.125</v>
      </c>
      <c r="H255" s="25" t="s">
        <v>405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3"/>
  <sheetViews>
    <sheetView topLeftCell="A11" workbookViewId="0">
      <selection activeCell="B33" sqref="B33"/>
    </sheetView>
  </sheetViews>
  <sheetFormatPr defaultRowHeight="16.5"/>
  <cols>
    <col min="2" max="2" width="50.875" bestFit="1" customWidth="1"/>
  </cols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  <row r="31" spans="1:5">
      <c r="A31" t="s">
        <v>349</v>
      </c>
      <c r="B31" t="s">
        <v>401</v>
      </c>
      <c r="C31" t="s">
        <v>398</v>
      </c>
      <c r="D31" t="s">
        <v>341</v>
      </c>
      <c r="E31" t="s">
        <v>342</v>
      </c>
    </row>
    <row r="32" spans="1:5">
      <c r="A32" t="s">
        <v>349</v>
      </c>
      <c r="B32" t="s">
        <v>403</v>
      </c>
      <c r="C32" t="s">
        <v>399</v>
      </c>
      <c r="D32" t="s">
        <v>341</v>
      </c>
      <c r="E32" t="s">
        <v>342</v>
      </c>
    </row>
    <row r="33" spans="1:5">
      <c r="A33" t="s">
        <v>349</v>
      </c>
      <c r="B33" t="s">
        <v>406</v>
      </c>
      <c r="C33" t="s">
        <v>407</v>
      </c>
      <c r="D33" t="s">
        <v>341</v>
      </c>
      <c r="E33" t="s">
        <v>342</v>
      </c>
    </row>
  </sheetData>
  <phoneticPr fontId="1" type="noConversion"/>
  <hyperlinks>
    <hyperlink ref="C31" r:id="rId1" xr:uid="{71E2B0C6-78FF-406C-856F-C1690B1149B8}"/>
    <hyperlink ref="C32" r:id="rId2" xr:uid="{1E12E9E7-786F-4205-8F76-A5EBA74BD8A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종근 이</cp:lastModifiedBy>
  <cp:lastPrinted>2025-05-20T00:28:00Z</cp:lastPrinted>
  <dcterms:created xsi:type="dcterms:W3CDTF">2018-05-29T23:17:08Z</dcterms:created>
  <dcterms:modified xsi:type="dcterms:W3CDTF">2026-06-29T06:45:44Z</dcterms:modified>
</cp:coreProperties>
</file>