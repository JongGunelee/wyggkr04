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01 커서\Cursor Work\03 확정분\02 공정\"/>
    </mc:Choice>
  </mc:AlternateContent>
  <xr:revisionPtr revIDLastSave="0" documentId="13_ncr:1_{829F26AF-0B3D-4E52-9BC7-99BFBA4D61F9}" xr6:coauthVersionLast="47" xr6:coauthVersionMax="47" xr10:uidLastSave="{00000000-0000-0000-0000-000000000000}"/>
  <bookViews>
    <workbookView xWindow="11520" yWindow="0" windowWidth="11520" windowHeight="12960" xr2:uid="{F9E0A9CF-57AC-466A-A87C-B51E8209070E}"/>
  </bookViews>
  <sheets>
    <sheet name="Project Data" sheetId="3" r:id="rId1"/>
    <sheet name="마일스톤" sheetId="4" r:id="rId2"/>
  </sheets>
  <definedNames>
    <definedName name="_xlnm._FilterDatabase" localSheetId="0" hidden="1">'Project Data'!$A$3:$M$137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" i="3" l="1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3" i="3"/>
</calcChain>
</file>

<file path=xl/sharedStrings.xml><?xml version="1.0" encoding="utf-8"?>
<sst xmlns="http://schemas.openxmlformats.org/spreadsheetml/2006/main" count="1542" uniqueCount="681">
  <si>
    <t>No.</t>
  </si>
  <si>
    <t>유지관리번호</t>
  </si>
  <si>
    <t>PR번호</t>
  </si>
  <si>
    <t>PO번호</t>
  </si>
  <si>
    <t>CI25015391</t>
  </si>
  <si>
    <t>93091650-10</t>
  </si>
  <si>
    <t>4570118622-10</t>
  </si>
  <si>
    <t>CI25015344</t>
  </si>
  <si>
    <t>93089380-30</t>
  </si>
  <si>
    <t>4570115989-10</t>
  </si>
  <si>
    <t>CI25015343</t>
  </si>
  <si>
    <t>93089380-20</t>
  </si>
  <si>
    <t>4570115988-10</t>
  </si>
  <si>
    <t>CI25015342</t>
  </si>
  <si>
    <t>93089380-10</t>
  </si>
  <si>
    <t>4570115987-10</t>
  </si>
  <si>
    <t>CI25015289</t>
  </si>
  <si>
    <t>93088888-10</t>
  </si>
  <si>
    <t>4570115958-10</t>
  </si>
  <si>
    <t>CI25015261</t>
  </si>
  <si>
    <t>93088453-30</t>
  </si>
  <si>
    <t>4570115957-10</t>
  </si>
  <si>
    <t>CI25015260</t>
  </si>
  <si>
    <t>93088453-20</t>
  </si>
  <si>
    <t>4570115823-10</t>
  </si>
  <si>
    <t>CI25015259</t>
  </si>
  <si>
    <t>93088453-10</t>
  </si>
  <si>
    <t>4570115956-10</t>
  </si>
  <si>
    <t>CI25015120</t>
  </si>
  <si>
    <t>93086754-10</t>
  </si>
  <si>
    <t>4570109330-10</t>
  </si>
  <si>
    <t>CI25015119</t>
  </si>
  <si>
    <t>93086763-10</t>
  </si>
  <si>
    <t>4570109331-10</t>
  </si>
  <si>
    <t>CI25015118</t>
  </si>
  <si>
    <t>93086827-10</t>
  </si>
  <si>
    <t>4570109332-10</t>
  </si>
  <si>
    <t>CI25015117</t>
  </si>
  <si>
    <t>93086828-30</t>
  </si>
  <si>
    <t>4570109334-10</t>
  </si>
  <si>
    <t>CI25015116</t>
  </si>
  <si>
    <t>93086828-20</t>
  </si>
  <si>
    <t>4570109333-10</t>
  </si>
  <si>
    <t>CI25015115</t>
  </si>
  <si>
    <t>93086778-10</t>
  </si>
  <si>
    <t>4570109299-10</t>
  </si>
  <si>
    <t>CI25015114</t>
  </si>
  <si>
    <t>93086780-10</t>
  </si>
  <si>
    <t>4570109300-10</t>
  </si>
  <si>
    <t>CI25015113</t>
  </si>
  <si>
    <t>93086775-10</t>
  </si>
  <si>
    <t>4570109298-10</t>
  </si>
  <si>
    <t>CI25015112</t>
  </si>
  <si>
    <t>93086773-10</t>
  </si>
  <si>
    <t>4570109297-10</t>
  </si>
  <si>
    <t>CI25015111</t>
  </si>
  <si>
    <t>93086771-10</t>
  </si>
  <si>
    <t>4570109296-10</t>
  </si>
  <si>
    <t>CI25015110</t>
  </si>
  <si>
    <t>93086828-10</t>
  </si>
  <si>
    <t>4570109301-10</t>
  </si>
  <si>
    <t>CI25015109</t>
  </si>
  <si>
    <t>93086767-20</t>
  </si>
  <si>
    <t>4570109295-10</t>
  </si>
  <si>
    <t>CI25015108</t>
  </si>
  <si>
    <t>93086767-10</t>
  </si>
  <si>
    <t>4570109294-10</t>
  </si>
  <si>
    <t>CI25014705</t>
  </si>
  <si>
    <t>93083912-10</t>
  </si>
  <si>
    <t>4570106099-10</t>
  </si>
  <si>
    <t>CI25014687</t>
  </si>
  <si>
    <t>93083528-10</t>
  </si>
  <si>
    <t>4570105641-10</t>
  </si>
  <si>
    <t>CI25013707</t>
  </si>
  <si>
    <t>93075668-10</t>
  </si>
  <si>
    <t>4570098908-10</t>
  </si>
  <si>
    <t>CI25013706</t>
  </si>
  <si>
    <t>93075660-10</t>
  </si>
  <si>
    <t>4570098357-10</t>
  </si>
  <si>
    <t>CI25013667</t>
  </si>
  <si>
    <t>93075264-50</t>
  </si>
  <si>
    <t>4570098124-10</t>
  </si>
  <si>
    <t>CI25013664</t>
  </si>
  <si>
    <t>93075264-20</t>
  </si>
  <si>
    <t>4570098121-10</t>
  </si>
  <si>
    <t>CI25013367</t>
  </si>
  <si>
    <t>93073110-10</t>
  </si>
  <si>
    <t>4570096017-10</t>
  </si>
  <si>
    <t>CI25013287</t>
  </si>
  <si>
    <t>94458068-10</t>
  </si>
  <si>
    <t>4510021347-10</t>
  </si>
  <si>
    <t>CI25012975</t>
  </si>
  <si>
    <t>93069713-10</t>
  </si>
  <si>
    <t>4570092355-10</t>
  </si>
  <si>
    <t>CI25011176</t>
  </si>
  <si>
    <t>93056754-10</t>
  </si>
  <si>
    <t>4570079401-10</t>
  </si>
  <si>
    <t>CI25015306</t>
  </si>
  <si>
    <t>94494343-10</t>
  </si>
  <si>
    <t>4510048775-10</t>
  </si>
  <si>
    <t>CI25015305</t>
  </si>
  <si>
    <t>94494342-10</t>
  </si>
  <si>
    <t>4510048774-10</t>
  </si>
  <si>
    <t>CI25015304</t>
  </si>
  <si>
    <t>94494341-10</t>
  </si>
  <si>
    <t>4510048773-10</t>
  </si>
  <si>
    <t>CI25015303</t>
  </si>
  <si>
    <t>94494324-10</t>
  </si>
  <si>
    <t>4510048772-10</t>
  </si>
  <si>
    <t>CI25015302</t>
  </si>
  <si>
    <t>94494323-10</t>
  </si>
  <si>
    <t>4510048771-10</t>
  </si>
  <si>
    <t>CI25015301</t>
  </si>
  <si>
    <t>94494322-10</t>
  </si>
  <si>
    <t>4510048770-10</t>
  </si>
  <si>
    <t>CI25015299</t>
  </si>
  <si>
    <t>94494321-10</t>
  </si>
  <si>
    <t>4510048769-10</t>
  </si>
  <si>
    <t>CI25015298</t>
  </si>
  <si>
    <t>94494320-10</t>
  </si>
  <si>
    <t>4510048768-10</t>
  </si>
  <si>
    <t>CI25015297</t>
  </si>
  <si>
    <t>94494319-10</t>
  </si>
  <si>
    <t>4510048767-10</t>
  </si>
  <si>
    <t>CI25015296</t>
  </si>
  <si>
    <t>94494318-10</t>
  </si>
  <si>
    <t>4510048766-10</t>
  </si>
  <si>
    <t>CI25015295</t>
  </si>
  <si>
    <t>94494344-10</t>
  </si>
  <si>
    <t>4510048776-10</t>
  </si>
  <si>
    <t>CI25010573</t>
  </si>
  <si>
    <t>93053153-10</t>
  </si>
  <si>
    <t>4570075834-10</t>
  </si>
  <si>
    <t>CI25006330</t>
  </si>
  <si>
    <t>93036018-10</t>
  </si>
  <si>
    <t>4570046106-10</t>
  </si>
  <si>
    <t>CI25013125</t>
  </si>
  <si>
    <t>93071360-10</t>
  </si>
  <si>
    <t>4570093909-10</t>
  </si>
  <si>
    <t>CI25013113</t>
  </si>
  <si>
    <t>93070997-10</t>
  </si>
  <si>
    <t>4570093908-10</t>
  </si>
  <si>
    <t>CI25015098</t>
  </si>
  <si>
    <t>94491413-10</t>
  </si>
  <si>
    <t>4510046462-10</t>
  </si>
  <si>
    <t>CI25014945</t>
  </si>
  <si>
    <t>93085535-10</t>
  </si>
  <si>
    <t>4570107954-10</t>
  </si>
  <si>
    <t>CI25015381</t>
  </si>
  <si>
    <t>93091689-10</t>
  </si>
  <si>
    <t>4570118053-10</t>
  </si>
  <si>
    <t>CI25015394</t>
  </si>
  <si>
    <t>93091690-10</t>
  </si>
  <si>
    <t>4570118104-10</t>
  </si>
  <si>
    <t>CI25015393</t>
  </si>
  <si>
    <t>93091650-20</t>
  </si>
  <si>
    <t>4570118572-10</t>
  </si>
  <si>
    <t>CI25015610</t>
  </si>
  <si>
    <t>94502273-10</t>
  </si>
  <si>
    <t>4510053683-10</t>
  </si>
  <si>
    <t>CI25015666</t>
  </si>
  <si>
    <t>93094068-10</t>
  </si>
  <si>
    <t>4570120159-10</t>
  </si>
  <si>
    <t>CI25015667</t>
  </si>
  <si>
    <t>93094070-10</t>
  </si>
  <si>
    <t>4570120157-10</t>
  </si>
  <si>
    <t>CI25015668</t>
  </si>
  <si>
    <t>93094075-10</t>
  </si>
  <si>
    <t>4570120158-10</t>
  </si>
  <si>
    <t>CI25015686</t>
  </si>
  <si>
    <t>93094188-10</t>
  </si>
  <si>
    <t>4570121822-10</t>
  </si>
  <si>
    <t>CI25015751</t>
  </si>
  <si>
    <t>93094471-10</t>
  </si>
  <si>
    <t>4570121684-10</t>
  </si>
  <si>
    <t>CI25015752</t>
  </si>
  <si>
    <t>93094471-20</t>
  </si>
  <si>
    <t>4570121685-10</t>
  </si>
  <si>
    <t>CI25015753</t>
  </si>
  <si>
    <t>93094471-30</t>
  </si>
  <si>
    <t>4570121686-10</t>
  </si>
  <si>
    <t>CI25015754</t>
  </si>
  <si>
    <t>93094471-40</t>
  </si>
  <si>
    <t>4570121687-10</t>
  </si>
  <si>
    <t>CI25015764</t>
  </si>
  <si>
    <t>93094787-10</t>
  </si>
  <si>
    <t>4570121554-10</t>
  </si>
  <si>
    <t>CI25015765</t>
  </si>
  <si>
    <t>93095088-10</t>
  </si>
  <si>
    <t>4570121553-10</t>
  </si>
  <si>
    <t>기숙사 및 사택 긴급보수 작업(기계)-1차</t>
    <phoneticPr fontId="2" type="noConversion"/>
  </si>
  <si>
    <t>DI25000001</t>
    <phoneticPr fontId="2" type="noConversion"/>
  </si>
  <si>
    <t>DI25000002</t>
    <phoneticPr fontId="2" type="noConversion"/>
  </si>
  <si>
    <t>사택 9동 전면부 안전 가이드봉 이전 설치</t>
    <phoneticPr fontId="2" type="noConversion"/>
  </si>
  <si>
    <t>DA25000001</t>
    <phoneticPr fontId="2" type="noConversion"/>
  </si>
  <si>
    <t>DA25000002</t>
    <phoneticPr fontId="2" type="noConversion"/>
  </si>
  <si>
    <t>PA25000001</t>
    <phoneticPr fontId="2" type="noConversion"/>
  </si>
  <si>
    <t>PA25000002</t>
    <phoneticPr fontId="2" type="noConversion"/>
  </si>
  <si>
    <t>유지관리명</t>
    <phoneticPr fontId="2" type="noConversion"/>
  </si>
  <si>
    <t>작업유형</t>
    <phoneticPr fontId="2" type="noConversion"/>
  </si>
  <si>
    <t>고객사</t>
    <phoneticPr fontId="2" type="noConversion"/>
  </si>
  <si>
    <t>솔루션</t>
    <phoneticPr fontId="2" type="noConversion"/>
  </si>
  <si>
    <t>화학</t>
    <phoneticPr fontId="2" type="noConversion"/>
  </si>
  <si>
    <t>기숙사 B동 1001호옆 발코니 타일교체</t>
    <phoneticPr fontId="2" type="noConversion"/>
  </si>
  <si>
    <t>긴급 기계 보수(후정산)</t>
  </si>
  <si>
    <t>기타 보수(기숙사/사택)</t>
  </si>
  <si>
    <t>사택 공가 수장공사</t>
  </si>
  <si>
    <t>사택 7동 LED등 교체</t>
  </si>
  <si>
    <t>사택 세대내 보일러 교체(개별)</t>
  </si>
  <si>
    <t>사택 씽크대 문짝 교체</t>
  </si>
  <si>
    <t>사택 단열작업</t>
  </si>
  <si>
    <t>긴급 건축 보수(후정산)</t>
  </si>
  <si>
    <t>사택 102동 어린이집 옥외 놀이터 보도블록 및 화단 보수</t>
    <phoneticPr fontId="2" type="noConversion"/>
  </si>
  <si>
    <t>전기 단전 작업</t>
    <phoneticPr fontId="2" type="noConversion"/>
  </si>
  <si>
    <t>긴급 건축 보수(후정산)_실비정산 상세</t>
    <phoneticPr fontId="2" type="noConversion"/>
  </si>
  <si>
    <t>시공사</t>
    <phoneticPr fontId="2" type="noConversion"/>
  </si>
  <si>
    <t>일성건축</t>
    <phoneticPr fontId="2" type="noConversion"/>
  </si>
  <si>
    <t>하이엠솔루텍</t>
    <phoneticPr fontId="2" type="noConversion"/>
  </si>
  <si>
    <t>준마</t>
    <phoneticPr fontId="2" type="noConversion"/>
  </si>
  <si>
    <t>대양이엔지</t>
    <phoneticPr fontId="2" type="noConversion"/>
  </si>
  <si>
    <t>수안</t>
    <phoneticPr fontId="2" type="noConversion"/>
  </si>
  <si>
    <t>귀뚜라미보일러</t>
    <phoneticPr fontId="2" type="noConversion"/>
  </si>
  <si>
    <t>PO금액</t>
    <phoneticPr fontId="2" type="noConversion"/>
  </si>
  <si>
    <t>사택 7-301 수장공사</t>
    <phoneticPr fontId="2" type="noConversion"/>
  </si>
  <si>
    <t>진척률</t>
    <phoneticPr fontId="2" type="noConversion"/>
  </si>
  <si>
    <t>사택 5동 경비실 천장형 EHP 수리</t>
    <phoneticPr fontId="2" type="noConversion"/>
  </si>
  <si>
    <t>사택 7-207 수장작업</t>
    <phoneticPr fontId="2" type="noConversion"/>
  </si>
  <si>
    <t>사택 2-103 수장작업</t>
    <phoneticPr fontId="2" type="noConversion"/>
  </si>
  <si>
    <t>CI25016168</t>
    <phoneticPr fontId="2" type="noConversion"/>
  </si>
  <si>
    <t>기타 보수(기숙사/사택)</t>
    <phoneticPr fontId="2" type="noConversion"/>
  </si>
  <si>
    <t>93098272-10</t>
    <phoneticPr fontId="2" type="noConversion"/>
  </si>
  <si>
    <t>4570125770-10</t>
    <phoneticPr fontId="2" type="noConversion"/>
  </si>
  <si>
    <t>CI25016119</t>
    <phoneticPr fontId="2" type="noConversion"/>
  </si>
  <si>
    <t>사택 공가 수장공사</t>
    <phoneticPr fontId="2" type="noConversion"/>
  </si>
  <si>
    <t>93097620-10</t>
    <phoneticPr fontId="2" type="noConversion"/>
  </si>
  <si>
    <t>4570125538-10</t>
    <phoneticPr fontId="2" type="noConversion"/>
  </si>
  <si>
    <t>CI25016118</t>
    <phoneticPr fontId="2" type="noConversion"/>
  </si>
  <si>
    <t>93097619-10</t>
    <phoneticPr fontId="2" type="noConversion"/>
  </si>
  <si>
    <t>4570125537-10</t>
    <phoneticPr fontId="2" type="noConversion"/>
  </si>
  <si>
    <t>사택 어린이집 전열교환기 고효율 필터교체</t>
    <phoneticPr fontId="2" type="noConversion"/>
  </si>
  <si>
    <t>사택 101-403 현관 방화문 교체</t>
    <phoneticPr fontId="2" type="noConversion"/>
  </si>
  <si>
    <t>사택 9-204 현관 방화문 수리</t>
    <phoneticPr fontId="2" type="noConversion"/>
  </si>
  <si>
    <t>기숙사 3동 소방 압력탱크 안전밸브 교체</t>
    <phoneticPr fontId="2" type="noConversion"/>
  </si>
  <si>
    <t>기숙사 AB동 비상방송 고장 엠프 교체</t>
    <phoneticPr fontId="2" type="noConversion"/>
  </si>
  <si>
    <t>사택 6-202 앞베란다 안전 난간대 보수</t>
    <phoneticPr fontId="2" type="noConversion"/>
  </si>
  <si>
    <t>사택 5동 지하 주차장 비상계단 방화문 교체</t>
    <phoneticPr fontId="2" type="noConversion"/>
  </si>
  <si>
    <t>사택 9-506 수장공사</t>
    <phoneticPr fontId="2" type="noConversion"/>
  </si>
  <si>
    <t>사택 102-402 수장공사</t>
    <phoneticPr fontId="2" type="noConversion"/>
  </si>
  <si>
    <t>사택 8동 우수 맨홀 침하 보수 작업</t>
    <phoneticPr fontId="2" type="noConversion"/>
  </si>
  <si>
    <t>사택 8동 및 9동 공동 현관 도어보수</t>
    <phoneticPr fontId="2" type="noConversion"/>
  </si>
  <si>
    <t>사택 7-202외 1세대 LED등기구 교체</t>
    <phoneticPr fontId="2" type="noConversion"/>
  </si>
  <si>
    <t>사택 104-203외 7세대 보일러 납품</t>
    <phoneticPr fontId="2" type="noConversion"/>
  </si>
  <si>
    <t>사택 2-304 수장공사</t>
    <phoneticPr fontId="2" type="noConversion"/>
  </si>
  <si>
    <t>사택 2-304 씽크대 상하부장 문짝교체</t>
    <phoneticPr fontId="2" type="noConversion"/>
  </si>
  <si>
    <t>사택 5-101 수장공사</t>
    <phoneticPr fontId="2" type="noConversion"/>
  </si>
  <si>
    <t>사택 5-504 수장공사</t>
    <phoneticPr fontId="2" type="noConversion"/>
  </si>
  <si>
    <t>사택 7-202 수장공사</t>
    <phoneticPr fontId="2" type="noConversion"/>
  </si>
  <si>
    <t>사택 7-408 수장공사</t>
    <phoneticPr fontId="2" type="noConversion"/>
  </si>
  <si>
    <t>사택 8-302 씽크대 상하부장 문짝교체</t>
    <phoneticPr fontId="2" type="noConversion"/>
  </si>
  <si>
    <t>사택 8-503 수장공사</t>
    <phoneticPr fontId="2" type="noConversion"/>
  </si>
  <si>
    <t>사택 8-503 씽크대 상하부장 문짝교체</t>
    <phoneticPr fontId="2" type="noConversion"/>
  </si>
  <si>
    <t>사택 102-304 수장공사</t>
    <phoneticPr fontId="2" type="noConversion"/>
  </si>
  <si>
    <t>사택 1동-9동 주차장 주차면 정리</t>
    <phoneticPr fontId="2" type="noConversion"/>
  </si>
  <si>
    <t>사택 101동-104동 주차장 주차면 정리</t>
    <phoneticPr fontId="2" type="noConversion"/>
  </si>
  <si>
    <t>사택 8-505 수장공사</t>
    <phoneticPr fontId="2" type="noConversion"/>
  </si>
  <si>
    <t>사택 102-206 수장공사</t>
    <phoneticPr fontId="2" type="noConversion"/>
  </si>
  <si>
    <t>사택 102-206 안방 및 좌측 작은방 단열작업</t>
    <phoneticPr fontId="2" type="noConversion"/>
  </si>
  <si>
    <t>기숙사 3동 비상 발전기 라디에터 수리</t>
    <phoneticPr fontId="2" type="noConversion"/>
  </si>
  <si>
    <t>사택 1-101 수장공사 및 기타보수</t>
    <phoneticPr fontId="2" type="noConversion"/>
  </si>
  <si>
    <t>사택 1-107 수장공사 및 기타보수</t>
    <phoneticPr fontId="2" type="noConversion"/>
  </si>
  <si>
    <t>사택 1-201 수장공사 및 기타보수</t>
    <phoneticPr fontId="2" type="noConversion"/>
  </si>
  <si>
    <t>사택 1-304 수장공사 및 기타보수</t>
    <phoneticPr fontId="2" type="noConversion"/>
  </si>
  <si>
    <t>사택 1-405 수장공사 및 기타보수</t>
    <phoneticPr fontId="2" type="noConversion"/>
  </si>
  <si>
    <t>사택 1-406 수장공사 및 기타보수</t>
    <phoneticPr fontId="2" type="noConversion"/>
  </si>
  <si>
    <t>사택 104-202 수장공사 및 기타보수</t>
    <phoneticPr fontId="2" type="noConversion"/>
  </si>
  <si>
    <t>사택 104-202 거실 및 방 단열작업</t>
    <phoneticPr fontId="2" type="noConversion"/>
  </si>
  <si>
    <t>사택 104-203 수장공사 및 기타보수</t>
    <phoneticPr fontId="2" type="noConversion"/>
  </si>
  <si>
    <t>사택 104-401 수장공사 및 기타보수</t>
    <phoneticPr fontId="2" type="noConversion"/>
  </si>
  <si>
    <t>사택 104-301 수장공사 및 기타보수</t>
    <phoneticPr fontId="2" type="noConversion"/>
  </si>
  <si>
    <t>기숙사 AB동 1층 롤방충망 36개 교체(공용부)</t>
    <phoneticPr fontId="2" type="noConversion"/>
  </si>
  <si>
    <t>기숙사 A동 롤방충망 78개 교체(주방 및 복도)</t>
    <phoneticPr fontId="2" type="noConversion"/>
  </si>
  <si>
    <t>기숙사 B동 롤방충망 44개 교체(주방 및 복도)</t>
    <phoneticPr fontId="2" type="noConversion"/>
  </si>
  <si>
    <t>사택 103-102 세대내 고장 보일러 납품</t>
    <phoneticPr fontId="2" type="noConversion"/>
  </si>
  <si>
    <t>사택 어린이집 현관 차양막 추가 설치(건축)</t>
    <phoneticPr fontId="2" type="noConversion"/>
  </si>
  <si>
    <t>사택 어린이집 현관 차양막 추가 설치(전기)</t>
    <phoneticPr fontId="2" type="noConversion"/>
  </si>
  <si>
    <t>기숙사 AB동 지하 주차장 유인휀 교체</t>
    <phoneticPr fontId="2" type="noConversion"/>
  </si>
  <si>
    <t>기숙사 B동 롤방충망 32개 교체(주방 및 복도)</t>
    <phoneticPr fontId="2" type="noConversion"/>
  </si>
  <si>
    <t>기숙사 AB동 급배기 및 제연휀 윤활유 교체</t>
    <phoneticPr fontId="2" type="noConversion"/>
  </si>
  <si>
    <t>기숙사 및 사택 긴급보수 작업(건축)-7차</t>
    <phoneticPr fontId="2" type="noConversion"/>
  </si>
  <si>
    <t>사택 101동 3-4라인 지하 2층 자동문 루바 환기창 설치</t>
    <phoneticPr fontId="2" type="noConversion"/>
  </si>
  <si>
    <t>사택 5-403 수장공사</t>
    <phoneticPr fontId="2" type="noConversion"/>
  </si>
  <si>
    <t>기숙사 3동 소방 스프링클러 보조펌프 교체</t>
    <phoneticPr fontId="2" type="noConversion"/>
  </si>
  <si>
    <t>기숙사 AB동 지하 영구 배수 집수정 펌프 교체</t>
    <phoneticPr fontId="2" type="noConversion"/>
  </si>
  <si>
    <t>No</t>
    <phoneticPr fontId="2" type="noConversion"/>
  </si>
  <si>
    <t>마일스톤</t>
    <phoneticPr fontId="2" type="noConversion"/>
  </si>
  <si>
    <t>날짜</t>
    <phoneticPr fontId="2" type="noConversion"/>
  </si>
  <si>
    <t>사택 세대내 보일러 교체(개별)</t>
    <phoneticPr fontId="2" type="noConversion"/>
  </si>
  <si>
    <t>CI25016227</t>
  </si>
  <si>
    <t>CI25016228</t>
  </si>
  <si>
    <t>CI25016229</t>
  </si>
  <si>
    <t>CI25016230</t>
  </si>
  <si>
    <t>CI25016231</t>
  </si>
  <si>
    <t>CI25016235</t>
  </si>
  <si>
    <t>CI25016236</t>
  </si>
  <si>
    <t>CI25016237</t>
  </si>
  <si>
    <t>CI25016238</t>
  </si>
  <si>
    <t>CI25016239</t>
  </si>
  <si>
    <t>CI25016240</t>
  </si>
  <si>
    <t>CI25016241</t>
  </si>
  <si>
    <t>CI25016242</t>
  </si>
  <si>
    <t>CI25016243</t>
  </si>
  <si>
    <t>CI25016244</t>
  </si>
  <si>
    <t>CI25016245</t>
  </si>
  <si>
    <t>CI25016246</t>
  </si>
  <si>
    <t>CI25016247</t>
  </si>
  <si>
    <t>CI25016388</t>
  </si>
  <si>
    <t>CI25016389</t>
  </si>
  <si>
    <t>CI25016390</t>
  </si>
  <si>
    <t>CI25016391</t>
  </si>
  <si>
    <t>CI25016392</t>
  </si>
  <si>
    <t>CI25016393</t>
  </si>
  <si>
    <t>CI25016394</t>
  </si>
  <si>
    <t>CI25016395</t>
  </si>
  <si>
    <t>CI25016396</t>
  </si>
  <si>
    <t>CI25016397</t>
  </si>
  <si>
    <t>CI25016398</t>
  </si>
  <si>
    <t>CI25016399</t>
  </si>
  <si>
    <t>CI25016400</t>
  </si>
  <si>
    <t>CI25016401</t>
  </si>
  <si>
    <t>CI25016402</t>
  </si>
  <si>
    <t>CI25016403</t>
  </si>
  <si>
    <t>CI25016404</t>
  </si>
  <si>
    <t>CI25016405</t>
  </si>
  <si>
    <t>CI25016406</t>
  </si>
  <si>
    <t>CI25016407</t>
  </si>
  <si>
    <t>93098274-10</t>
  </si>
  <si>
    <t>93098274-20</t>
  </si>
  <si>
    <t>93098274-30</t>
  </si>
  <si>
    <t>93098274-40</t>
  </si>
  <si>
    <t>93098274-50</t>
  </si>
  <si>
    <t>93098274-60</t>
  </si>
  <si>
    <t>93098274-70</t>
  </si>
  <si>
    <t>93098274-80</t>
  </si>
  <si>
    <t>93098274-90</t>
  </si>
  <si>
    <t>93099154-10</t>
  </si>
  <si>
    <t>93099154-20</t>
  </si>
  <si>
    <t>93099154-30</t>
  </si>
  <si>
    <t>93099154-40</t>
  </si>
  <si>
    <t>93099154-50</t>
  </si>
  <si>
    <t>93099154-60</t>
  </si>
  <si>
    <t>93099154-70</t>
  </si>
  <si>
    <t>93099154-80</t>
  </si>
  <si>
    <t>93099154-90</t>
  </si>
  <si>
    <t>93100034-10</t>
  </si>
  <si>
    <t>93100034-20</t>
  </si>
  <si>
    <t>93100034-30</t>
  </si>
  <si>
    <t>93100034-40</t>
  </si>
  <si>
    <t>93100034-50</t>
  </si>
  <si>
    <t>93100034-60</t>
  </si>
  <si>
    <t>93100034-70</t>
  </si>
  <si>
    <t>93100034-80</t>
  </si>
  <si>
    <t>93100034-90</t>
  </si>
  <si>
    <t>93100035-10</t>
  </si>
  <si>
    <t>93100035-20</t>
  </si>
  <si>
    <t>93100035-30</t>
  </si>
  <si>
    <t>93100035-40</t>
  </si>
  <si>
    <t>93100035-50</t>
  </si>
  <si>
    <t>93100035-60</t>
  </si>
  <si>
    <t>93100035-70</t>
  </si>
  <si>
    <t>93100035-80</t>
  </si>
  <si>
    <t>93100035-90</t>
  </si>
  <si>
    <t>93100036-10</t>
  </si>
  <si>
    <t>93100036-20</t>
  </si>
  <si>
    <t>4570127521-10</t>
  </si>
  <si>
    <t>4570127522-10</t>
  </si>
  <si>
    <t>4570127523-10</t>
  </si>
  <si>
    <t>4570127524-10</t>
  </si>
  <si>
    <t>4570127477-10</t>
  </si>
  <si>
    <t>4570127478-10</t>
  </si>
  <si>
    <t>4570127479-10</t>
  </si>
  <si>
    <t>4570127480-10</t>
  </si>
  <si>
    <t>4570127481-10</t>
  </si>
  <si>
    <t>4570127482-10</t>
  </si>
  <si>
    <t>4570127483-10</t>
  </si>
  <si>
    <t>4570127484-10</t>
  </si>
  <si>
    <t>4570127485-10</t>
  </si>
  <si>
    <t>4570127525-10</t>
  </si>
  <si>
    <t>4570127526-10</t>
  </si>
  <si>
    <t>4570127527-10</t>
  </si>
  <si>
    <t>4570127528-10</t>
  </si>
  <si>
    <t>4570127529-10</t>
  </si>
  <si>
    <t>사택 101-101 세대내 보일러 납품</t>
    <phoneticPr fontId="2" type="noConversion"/>
  </si>
  <si>
    <t>사택 101-104 세대내 보일러 납품</t>
    <phoneticPr fontId="2" type="noConversion"/>
  </si>
  <si>
    <t>사택 101-202 세대내 보일러 납품</t>
    <phoneticPr fontId="2" type="noConversion"/>
  </si>
  <si>
    <t>사택 101-203 세대내 보일러 납품</t>
    <phoneticPr fontId="2" type="noConversion"/>
  </si>
  <si>
    <t>사택 101-204 세대내 보일러 납품</t>
    <phoneticPr fontId="2" type="noConversion"/>
  </si>
  <si>
    <t>사택 101-302 세대내 보일러 납품</t>
    <phoneticPr fontId="2" type="noConversion"/>
  </si>
  <si>
    <t>사택 101-303 세대내 보일러 납품</t>
    <phoneticPr fontId="2" type="noConversion"/>
  </si>
  <si>
    <t>사택 101-402 세대내 보일러 납품</t>
    <phoneticPr fontId="2" type="noConversion"/>
  </si>
  <si>
    <t>사택 101-403 세대내 보일러 납품</t>
    <phoneticPr fontId="2" type="noConversion"/>
  </si>
  <si>
    <t>사택 101-404 세대내 보일러 납품</t>
    <phoneticPr fontId="2" type="noConversion"/>
  </si>
  <si>
    <t>사택 102-201 세대내 보일러 납품</t>
    <phoneticPr fontId="2" type="noConversion"/>
  </si>
  <si>
    <t>사택 102-203 세대내 보일러 납품</t>
    <phoneticPr fontId="2" type="noConversion"/>
  </si>
  <si>
    <t>사택 102-204 세대내 보일러 납품</t>
    <phoneticPr fontId="2" type="noConversion"/>
  </si>
  <si>
    <t>사택 102-206 세대내 보일러 납품</t>
    <phoneticPr fontId="2" type="noConversion"/>
  </si>
  <si>
    <t>사택 102-301 세대내 보일러 납품</t>
    <phoneticPr fontId="2" type="noConversion"/>
  </si>
  <si>
    <t>사택 102-303 세대내 보일러 납품</t>
    <phoneticPr fontId="2" type="noConversion"/>
  </si>
  <si>
    <t>사택 102-304 세대내 보일러 납품</t>
    <phoneticPr fontId="2" type="noConversion"/>
  </si>
  <si>
    <t>사택 102-402 세대내 보일러 납품</t>
    <phoneticPr fontId="2" type="noConversion"/>
  </si>
  <si>
    <t>사택 102-403 세대내 보일러 납품</t>
    <phoneticPr fontId="2" type="noConversion"/>
  </si>
  <si>
    <t>사택 102-404 세대내 보일러 납품</t>
    <phoneticPr fontId="2" type="noConversion"/>
  </si>
  <si>
    <t>사택 102-406 세대내 보일러 납품</t>
    <phoneticPr fontId="2" type="noConversion"/>
  </si>
  <si>
    <t>사택 102-502 세대내 보일러 납품</t>
    <phoneticPr fontId="2" type="noConversion"/>
  </si>
  <si>
    <t>사택 102-503 세대내 보일러 납품</t>
    <phoneticPr fontId="2" type="noConversion"/>
  </si>
  <si>
    <t>사택 102-504 세대내 보일러 납품</t>
    <phoneticPr fontId="2" type="noConversion"/>
  </si>
  <si>
    <t>사택 102-505 세대내 보일러 납품</t>
    <phoneticPr fontId="2" type="noConversion"/>
  </si>
  <si>
    <t>사택 103-103 세대내 보일러 납품</t>
    <phoneticPr fontId="2" type="noConversion"/>
  </si>
  <si>
    <t>사택 103-105 세대내 보일러 납품</t>
    <phoneticPr fontId="2" type="noConversion"/>
  </si>
  <si>
    <t>사택 103-201 세대내 보일러 납품</t>
    <phoneticPr fontId="2" type="noConversion"/>
  </si>
  <si>
    <t>사택 103-202 세대내 보일러 납품</t>
    <phoneticPr fontId="2" type="noConversion"/>
  </si>
  <si>
    <t>사택 103-204 세대내 보일러 납품</t>
    <phoneticPr fontId="2" type="noConversion"/>
  </si>
  <si>
    <t>사택 103-205 세대내 보일러 납품</t>
    <phoneticPr fontId="2" type="noConversion"/>
  </si>
  <si>
    <t>사택 103-302 세대내 보일러 납품</t>
    <phoneticPr fontId="2" type="noConversion"/>
  </si>
  <si>
    <t>사택 103-305 세대내 보일러 납품</t>
    <phoneticPr fontId="2" type="noConversion"/>
  </si>
  <si>
    <t>사택 103-306 세대내 보일러 납품</t>
    <phoneticPr fontId="2" type="noConversion"/>
  </si>
  <si>
    <t>사택 103-402 세대내 보일러 납품</t>
    <phoneticPr fontId="2" type="noConversion"/>
  </si>
  <si>
    <t>사택 103-403 세대내 보일러 납품</t>
    <phoneticPr fontId="2" type="noConversion"/>
  </si>
  <si>
    <t>사택 103-404 세대내 보일러 납품</t>
    <phoneticPr fontId="2" type="noConversion"/>
  </si>
  <si>
    <t>사택 103-405 세대내 보일러 납품</t>
    <phoneticPr fontId="2" type="noConversion"/>
  </si>
  <si>
    <t>사택 101-403 현관 방화문 교체(입주민 거부)_부분 감액</t>
    <phoneticPr fontId="2" type="noConversion"/>
  </si>
  <si>
    <t>사택 1동 유모차 보관소 비닐(두께 3mm) 커튼_샘플 1개소</t>
    <phoneticPr fontId="2" type="noConversion"/>
  </si>
  <si>
    <t>사택 2동 현관 분전반 외함 도장(단전 완료후)</t>
    <phoneticPr fontId="2" type="noConversion"/>
  </si>
  <si>
    <t>사택 2동 차단기 교체 및 전력량계 인입선 개선</t>
    <phoneticPr fontId="2" type="noConversion"/>
  </si>
  <si>
    <t>사택 2동 차단기 교체 및 전력량계 인입선 개선(1-2라인)</t>
    <phoneticPr fontId="2" type="noConversion"/>
  </si>
  <si>
    <t>사택 2동 차단기 교체 및 전력량계 인입선 개선(3-4라인)</t>
    <phoneticPr fontId="2" type="noConversion"/>
  </si>
  <si>
    <t>사택 2동 차단기 교체 및 전력량계 인입선 개선(5-6라인)</t>
    <phoneticPr fontId="2" type="noConversion"/>
  </si>
  <si>
    <t>사택 2동 차단기 교체 및 전력량계 인입선 개선(7-8라인)</t>
    <phoneticPr fontId="2" type="noConversion"/>
  </si>
  <si>
    <t>사택 2동 현관 분전반 외함 도장(단전 완료후)_실비정산</t>
    <phoneticPr fontId="2" type="noConversion"/>
  </si>
  <si>
    <t>사택 1동 유모차 보관소 비닐(두께 3mm) 커튼_샘플 1개소_실비정산</t>
    <phoneticPr fontId="2" type="noConversion"/>
  </si>
  <si>
    <t>사택 8-303 씽크대 상하부장 문짝교체</t>
    <phoneticPr fontId="2" type="noConversion"/>
  </si>
  <si>
    <t>기숙사 A동 501-6호외 2세대 도배</t>
    <phoneticPr fontId="2" type="noConversion"/>
  </si>
  <si>
    <t>임차사택 수장작업 최정환(선행개발)</t>
    <phoneticPr fontId="2" type="noConversion"/>
  </si>
  <si>
    <t>임차사택 공가 수장공사</t>
    <phoneticPr fontId="2" type="noConversion"/>
  </si>
  <si>
    <t>CI25016692</t>
  </si>
  <si>
    <t>CI25016693</t>
  </si>
  <si>
    <t>CI25016696</t>
  </si>
  <si>
    <t>CI25016997</t>
  </si>
  <si>
    <t>CI25016996</t>
  </si>
  <si>
    <t>기숙사 A동 303-2 세대내 친환경 도장 작업(샘플)</t>
    <phoneticPr fontId="2" type="noConversion"/>
  </si>
  <si>
    <t>임차사택 수장작업 최정환(선행개발)_신정+금요일</t>
    <phoneticPr fontId="2" type="noConversion"/>
  </si>
  <si>
    <t>4570128151-10</t>
  </si>
  <si>
    <t>4570128152-10</t>
  </si>
  <si>
    <t>4570128153-10</t>
  </si>
  <si>
    <t>4570128154-10</t>
  </si>
  <si>
    <t>4570128155-10</t>
  </si>
  <si>
    <t>4570128156-10</t>
  </si>
  <si>
    <t>4570128157-10</t>
  </si>
  <si>
    <t>4570128158-10</t>
  </si>
  <si>
    <t>4570128159-10</t>
  </si>
  <si>
    <t>4570128160-10</t>
  </si>
  <si>
    <t>4570128161-10</t>
  </si>
  <si>
    <t>4570128162-10</t>
  </si>
  <si>
    <t>4570128163-10</t>
  </si>
  <si>
    <t>4570128164-10</t>
  </si>
  <si>
    <t>4570128165-10</t>
  </si>
  <si>
    <t>4570128166-10</t>
  </si>
  <si>
    <t>4570128167-10</t>
  </si>
  <si>
    <t>4570128168-10</t>
  </si>
  <si>
    <t>4570128169-10</t>
  </si>
  <si>
    <t>4570128170-10</t>
  </si>
  <si>
    <t>93102584-20</t>
  </si>
  <si>
    <t>4570131457-10</t>
  </si>
  <si>
    <t>93102584-10</t>
  </si>
  <si>
    <t>4570131456-10</t>
  </si>
  <si>
    <t>93104795-10</t>
  </si>
  <si>
    <t>4570133306-10</t>
  </si>
  <si>
    <t>93104795-20</t>
  </si>
  <si>
    <t>4570133307-10</t>
  </si>
  <si>
    <t>93102554-10</t>
  </si>
  <si>
    <t>4570131455-10</t>
  </si>
  <si>
    <t>CI25017150</t>
    <phoneticPr fontId="2" type="noConversion"/>
  </si>
  <si>
    <t>93106016-10</t>
  </si>
  <si>
    <t>사택 씽크대 문짝 교체</t>
    <phoneticPr fontId="2" type="noConversion"/>
  </si>
  <si>
    <t>사택 5-403 씽크대 상하부장 문짝교체</t>
    <phoneticPr fontId="2" type="noConversion"/>
  </si>
  <si>
    <t>긴급 건축 보수(후정산)</t>
    <phoneticPr fontId="2" type="noConversion"/>
  </si>
  <si>
    <t>기숙사 및 사택 긴급 작업(건축)-8차</t>
    <phoneticPr fontId="2" type="noConversion"/>
  </si>
  <si>
    <t>93106018-10</t>
  </si>
  <si>
    <t>93106018-20</t>
  </si>
  <si>
    <t>93106018-30</t>
  </si>
  <si>
    <t>93106018-40</t>
  </si>
  <si>
    <t>93106018-50</t>
  </si>
  <si>
    <t>93106018-60</t>
  </si>
  <si>
    <t>93106018-70</t>
  </si>
  <si>
    <t>93106057-10</t>
  </si>
  <si>
    <t>93106057-20</t>
  </si>
  <si>
    <t>93106057-30</t>
  </si>
  <si>
    <t>93106057-40</t>
  </si>
  <si>
    <t>93106057-50</t>
  </si>
  <si>
    <t>93106057-60</t>
  </si>
  <si>
    <t>93106084-10</t>
  </si>
  <si>
    <t>93106084-20</t>
  </si>
  <si>
    <t>93106084-30</t>
  </si>
  <si>
    <t>93106084-40</t>
  </si>
  <si>
    <t>93106084-50</t>
  </si>
  <si>
    <t>CI25017285</t>
    <phoneticPr fontId="2" type="noConversion"/>
  </si>
  <si>
    <t>사택 101-101 베란다 누수보수(전후면)</t>
    <phoneticPr fontId="2" type="noConversion"/>
  </si>
  <si>
    <t>CI25017284</t>
    <phoneticPr fontId="2" type="noConversion"/>
  </si>
  <si>
    <t>사택 101-101 수장작업</t>
    <phoneticPr fontId="2" type="noConversion"/>
  </si>
  <si>
    <t>CI25017283</t>
    <phoneticPr fontId="2" type="noConversion"/>
  </si>
  <si>
    <t>사택 101-101 작은방 단열작업</t>
    <phoneticPr fontId="2" type="noConversion"/>
  </si>
  <si>
    <t>CI25017282</t>
    <phoneticPr fontId="2" type="noConversion"/>
  </si>
  <si>
    <t>사택 101-303 수장작업</t>
    <phoneticPr fontId="2" type="noConversion"/>
  </si>
  <si>
    <t>CI25017281</t>
    <phoneticPr fontId="2" type="noConversion"/>
  </si>
  <si>
    <t>사택 102-403 베란다 누수보수(전후면)</t>
    <phoneticPr fontId="2" type="noConversion"/>
  </si>
  <si>
    <t>CI25017280</t>
    <phoneticPr fontId="2" type="noConversion"/>
  </si>
  <si>
    <t>사택 102-403 수장작업</t>
    <phoneticPr fontId="2" type="noConversion"/>
  </si>
  <si>
    <t>CI25017279</t>
    <phoneticPr fontId="2" type="noConversion"/>
  </si>
  <si>
    <t>사택 102-403 작은방 단열작업</t>
    <phoneticPr fontId="2" type="noConversion"/>
  </si>
  <si>
    <t>CI25017278</t>
    <phoneticPr fontId="2" type="noConversion"/>
  </si>
  <si>
    <t>사택 7-407 수장작업</t>
    <phoneticPr fontId="2" type="noConversion"/>
  </si>
  <si>
    <t>CI25017277</t>
    <phoneticPr fontId="2" type="noConversion"/>
  </si>
  <si>
    <t>사택 9-101 수장작업</t>
    <phoneticPr fontId="2" type="noConversion"/>
  </si>
  <si>
    <t>CI25017276</t>
    <phoneticPr fontId="2" type="noConversion"/>
  </si>
  <si>
    <t>사택 9-202 수장작업</t>
    <phoneticPr fontId="2" type="noConversion"/>
  </si>
  <si>
    <t>CI25017275</t>
    <phoneticPr fontId="2" type="noConversion"/>
  </si>
  <si>
    <t>사택 9-202 앞베란다 다용도실 단열작업</t>
    <phoneticPr fontId="2" type="noConversion"/>
  </si>
  <si>
    <t>CI25017274</t>
    <phoneticPr fontId="2" type="noConversion"/>
  </si>
  <si>
    <t>사택 9-502 수장작업</t>
    <phoneticPr fontId="2" type="noConversion"/>
  </si>
  <si>
    <t>CI25017273</t>
    <phoneticPr fontId="2" type="noConversion"/>
  </si>
  <si>
    <t>사택 9-502 앞베란다 다용도실 단열작업</t>
    <phoneticPr fontId="2" type="noConversion"/>
  </si>
  <si>
    <t>CI25017272</t>
    <phoneticPr fontId="2" type="noConversion"/>
  </si>
  <si>
    <t>사택 103-306 거실 및 방 단열작업</t>
    <phoneticPr fontId="2" type="noConversion"/>
  </si>
  <si>
    <t>CI25017271</t>
    <phoneticPr fontId="2" type="noConversion"/>
  </si>
  <si>
    <t>사택 103-306 수장작업</t>
    <phoneticPr fontId="2" type="noConversion"/>
  </si>
  <si>
    <t>CI25017270</t>
    <phoneticPr fontId="2" type="noConversion"/>
  </si>
  <si>
    <t>사택 103-404 UBR욕조 누수작업</t>
    <phoneticPr fontId="2" type="noConversion"/>
  </si>
  <si>
    <t>CI25017269</t>
    <phoneticPr fontId="2" type="noConversion"/>
  </si>
  <si>
    <t>사택 103-404 수장작업</t>
    <phoneticPr fontId="2" type="noConversion"/>
  </si>
  <si>
    <t>CI25017268</t>
    <phoneticPr fontId="2" type="noConversion"/>
  </si>
  <si>
    <t>사택 103-404 작은방 단열작업</t>
    <phoneticPr fontId="2" type="noConversion"/>
  </si>
  <si>
    <t>사택 101-302 세대내 보일러 납품_교체일정 미정</t>
    <phoneticPr fontId="2" type="noConversion"/>
  </si>
  <si>
    <t>DI25000003</t>
    <phoneticPr fontId="2" type="noConversion"/>
  </si>
  <si>
    <t>100</t>
    <phoneticPr fontId="2" type="noConversion"/>
  </si>
  <si>
    <t>기숙사 및 사택 긴급보수 작업(기계)-1차_정산일 확인</t>
    <phoneticPr fontId="2" type="noConversion"/>
  </si>
  <si>
    <t>작업기간</t>
  </si>
  <si>
    <t>시작</t>
  </si>
  <si>
    <t>종료</t>
  </si>
  <si>
    <t>4570134865-10</t>
  </si>
  <si>
    <t>4570135641-10</t>
  </si>
  <si>
    <t>4570135642-10</t>
  </si>
  <si>
    <t>4570135643-10</t>
  </si>
  <si>
    <t>4570135644-10</t>
  </si>
  <si>
    <t>4570135645-10</t>
  </si>
  <si>
    <t>4570135646-10</t>
  </si>
  <si>
    <t>4570135647-10</t>
  </si>
  <si>
    <t>4570135648-10</t>
  </si>
  <si>
    <t>4570135649-10</t>
  </si>
  <si>
    <t>4570135650-10</t>
  </si>
  <si>
    <t>4570135651-10</t>
  </si>
  <si>
    <t>4570135652-10</t>
  </si>
  <si>
    <t>4570135628-10</t>
  </si>
  <si>
    <t>4570135629-10</t>
  </si>
  <si>
    <t>4570135630-10</t>
  </si>
  <si>
    <t>4570135631-10</t>
  </si>
  <si>
    <t>4570135653-10</t>
  </si>
  <si>
    <t>4570135654-10</t>
  </si>
  <si>
    <t>기숙사 B동 202-1호외 5세대 도배 및 기타작업</t>
    <phoneticPr fontId="2" type="noConversion"/>
  </si>
  <si>
    <t>CI25017555</t>
    <phoneticPr fontId="2" type="noConversion"/>
  </si>
  <si>
    <t>94535763-10</t>
    <phoneticPr fontId="2" type="noConversion"/>
  </si>
  <si>
    <t>비용계정</t>
    <phoneticPr fontId="2" type="noConversion"/>
  </si>
  <si>
    <t>기숙사/사택 수선비</t>
    <phoneticPr fontId="2" type="noConversion"/>
  </si>
  <si>
    <t>어린이집</t>
    <phoneticPr fontId="2" type="noConversion"/>
  </si>
  <si>
    <t>투자</t>
    <phoneticPr fontId="2" type="noConversion"/>
  </si>
  <si>
    <t>사택 단열작업</t>
    <phoneticPr fontId="2" type="noConversion"/>
  </si>
  <si>
    <t>사택 누수보수</t>
    <phoneticPr fontId="2" type="noConversion"/>
  </si>
  <si>
    <t>사택 102동 어린이집 놀이터 화단 외벽 개선</t>
    <phoneticPr fontId="2" type="noConversion"/>
  </si>
  <si>
    <t>93109836-10</t>
    <phoneticPr fontId="2" type="noConversion"/>
  </si>
  <si>
    <t>CI25017814</t>
    <phoneticPr fontId="2" type="noConversion"/>
  </si>
  <si>
    <t>CI25018046</t>
    <phoneticPr fontId="2" type="noConversion"/>
  </si>
  <si>
    <t>기숙사 및 사택 긴급 작업(건축)-9차</t>
    <phoneticPr fontId="2" type="noConversion"/>
  </si>
  <si>
    <t>CI25018045</t>
    <phoneticPr fontId="2" type="noConversion"/>
  </si>
  <si>
    <t>사택 7-406 수장작업</t>
    <phoneticPr fontId="2" type="noConversion"/>
  </si>
  <si>
    <t>CI25018047</t>
    <phoneticPr fontId="2" type="noConversion"/>
  </si>
  <si>
    <t>사택 7-207외 2세대 LED등기구 교체</t>
    <phoneticPr fontId="2" type="noConversion"/>
  </si>
  <si>
    <t>0</t>
    <phoneticPr fontId="2" type="noConversion"/>
  </si>
  <si>
    <t>10</t>
    <phoneticPr fontId="2" type="noConversion"/>
  </si>
  <si>
    <t>사택 7동 LED등 교체</t>
    <phoneticPr fontId="2" type="noConversion"/>
  </si>
  <si>
    <t>93112379-10</t>
  </si>
  <si>
    <t>93112380-10</t>
  </si>
  <si>
    <t>93112378-10</t>
  </si>
  <si>
    <t>DI25000001</t>
  </si>
  <si>
    <t>DI25000002</t>
  </si>
  <si>
    <t>DI25000003</t>
  </si>
  <si>
    <t>CI25016168</t>
  </si>
  <si>
    <t>CI25016119</t>
  </si>
  <si>
    <t>CI25016118</t>
  </si>
  <si>
    <t>CI25017150</t>
  </si>
  <si>
    <t>CI25017285</t>
  </si>
  <si>
    <t>CI25017284</t>
  </si>
  <si>
    <t>CI25017283</t>
  </si>
  <si>
    <t>CI25017282</t>
  </si>
  <si>
    <t>CI25017281</t>
  </si>
  <si>
    <t>CI25017280</t>
  </si>
  <si>
    <t>CI25017279</t>
  </si>
  <si>
    <t>CI25017278</t>
  </si>
  <si>
    <t>CI25017277</t>
  </si>
  <si>
    <t>CI25017276</t>
  </si>
  <si>
    <t>CI25017275</t>
  </si>
  <si>
    <t>CI25017274</t>
  </si>
  <si>
    <t>CI25017273</t>
  </si>
  <si>
    <t>CI25017272</t>
  </si>
  <si>
    <t>CI25017271</t>
  </si>
  <si>
    <t>CI25017270</t>
  </si>
  <si>
    <t>CI25017269</t>
  </si>
  <si>
    <t>CI25017268</t>
  </si>
  <si>
    <t>CI25017555</t>
  </si>
  <si>
    <t>CI25017814</t>
  </si>
  <si>
    <t>CI25018046</t>
  </si>
  <si>
    <t>CI25018045</t>
  </si>
  <si>
    <t>CI25018047</t>
  </si>
  <si>
    <t>2025-04-25</t>
  </si>
  <si>
    <t>2025-11-08</t>
  </si>
  <si>
    <t>2025-09-01</t>
  </si>
  <si>
    <t>2025-10-20</t>
  </si>
  <si>
    <t>2025-08-27</t>
  </si>
  <si>
    <t>2025-09-16</t>
  </si>
  <si>
    <t>2025-09-15</t>
  </si>
  <si>
    <t>2025-11-03</t>
  </si>
  <si>
    <t>2025-09-23</t>
  </si>
  <si>
    <t>2025-09-29</t>
  </si>
  <si>
    <t>2025-10-28</t>
  </si>
  <si>
    <t>2025-12-16</t>
  </si>
  <si>
    <t>2025-10-17</t>
  </si>
  <si>
    <t>2025-11-04</t>
  </si>
  <si>
    <t>2025-10-16</t>
  </si>
  <si>
    <t>2025-10-15</t>
  </si>
  <si>
    <t>2025-10-14</t>
  </si>
  <si>
    <t>2025-11-14</t>
  </si>
  <si>
    <t>2025-10-21</t>
  </si>
  <si>
    <t>2025-10-22</t>
  </si>
  <si>
    <t>2025-10-23</t>
  </si>
  <si>
    <t>2025-11-05</t>
  </si>
  <si>
    <t>2025-11-06</t>
  </si>
  <si>
    <t>2025-11-13</t>
  </si>
  <si>
    <t>2025-11-28</t>
  </si>
  <si>
    <t>2025-12-01</t>
  </si>
  <si>
    <t>2025-10-01</t>
  </si>
  <si>
    <t>2025-10-30</t>
  </si>
  <si>
    <t>2025-11-10</t>
  </si>
  <si>
    <t>2025-11-11</t>
  </si>
  <si>
    <t>2025-11-12</t>
  </si>
  <si>
    <t>2025-10-29</t>
  </si>
  <si>
    <t>2025-12-09</t>
  </si>
  <si>
    <t>2025-11-19</t>
  </si>
  <si>
    <t>2025-11-07</t>
  </si>
  <si>
    <t>2025-11-26</t>
  </si>
  <si>
    <t>2025-11-25</t>
  </si>
  <si>
    <t>2025-11-24</t>
  </si>
  <si>
    <t>2025-11-21</t>
  </si>
  <si>
    <t>2025-11-20</t>
  </si>
  <si>
    <t>2025-11-18</t>
  </si>
  <si>
    <t>2025-11-17</t>
  </si>
  <si>
    <t>2025-10-18</t>
  </si>
  <si>
    <t>2025-11-27</t>
  </si>
  <si>
    <t>2026-01-02</t>
  </si>
  <si>
    <t>2025-12-04</t>
  </si>
  <si>
    <t>2025-12-05</t>
  </si>
  <si>
    <t>2025-12-02</t>
  </si>
  <si>
    <t>2025-12-08</t>
  </si>
  <si>
    <t>2025-12-12</t>
  </si>
  <si>
    <t>2025-11-30</t>
  </si>
  <si>
    <t>2025-09-05</t>
  </si>
  <si>
    <t>2025-09-18</t>
  </si>
  <si>
    <t>2025-09-30</t>
  </si>
  <si>
    <t>2025-10-27</t>
  </si>
  <si>
    <t>2025-10-24</t>
  </si>
  <si>
    <t>2025-12-10</t>
  </si>
  <si>
    <t>2025-12-31</t>
  </si>
  <si>
    <t>2025-12-17</t>
  </si>
  <si>
    <t>2025-12-03</t>
  </si>
  <si>
    <t>2025-12-30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</si>
</sst>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>
    <font>
      <sz val="11"/>
      <color theme="1"/>
      <name val="맑은 고딕"/>
      <family val="2"/>
      <charset val="129"/>
      <scheme val="minor"/>
    </font>
    <font>
      <sz val="9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2"/>
      <color theme="1"/>
      <name val="맑은 고딕"/>
      <family val="2"/>
      <scheme val="minor"/>
    </font>
    <font>
      <sz val="9"/>
      <name val="Malgun Gothic"/>
      <family val="3"/>
      <charset val="129"/>
    </font>
    <font>
      <sz val="11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DCDBDA"/>
      </left>
      <right style="thin">
        <color rgb="FFDCDBDA"/>
      </right>
      <top style="thin">
        <color rgb="FFDCDBDA"/>
      </top>
      <bottom style="thin">
        <color rgb="FFDCDBDA"/>
      </bottom>
      <diagonal/>
    </border>
    <border>
      <left/>
      <right style="thin">
        <color rgb="FFDCDBDA"/>
      </right>
      <top style="thin">
        <color rgb="FFDCDBDA"/>
      </top>
      <bottom style="thin">
        <color rgb="FFDCDBDA"/>
      </bottom>
      <diagonal/>
    </border>
    <border>
      <left/>
      <right style="thin">
        <color rgb="FFDCDBDA"/>
      </right>
      <top/>
      <bottom style="thin">
        <color rgb="FFDCDBDA"/>
      </bottom>
      <diagonal/>
    </border>
    <border>
      <left style="thin">
        <color rgb="FFDCDBDA"/>
      </left>
      <right style="thin">
        <color rgb="FFDCDBDA"/>
      </right>
      <top/>
      <bottom style="thin">
        <color rgb="FFE7E7E7"/>
      </bottom>
      <diagonal/>
    </border>
    <border>
      <left/>
      <right style="thin">
        <color rgb="FFDCDBDA"/>
      </right>
      <top/>
      <bottom style="thin">
        <color rgb="FFE7E7E7"/>
      </bottom>
      <diagonal/>
    </border>
    <border>
      <left style="thin">
        <color rgb="FFDCDBDA"/>
      </left>
      <right style="thin">
        <color rgb="FFDCDBDA"/>
      </right>
      <top style="thin">
        <color rgb="FFDCDBDA"/>
      </top>
      <bottom/>
      <diagonal/>
    </border>
    <border>
      <left style="thin">
        <color rgb="FFDCDBDA"/>
      </left>
      <right style="thin">
        <color rgb="FFDCDBDA"/>
      </right>
      <top/>
      <bottom style="thin">
        <color rgb="FFDCDBDA"/>
      </bottom>
      <diagonal/>
    </border>
    <border>
      <left style="thin">
        <color rgb="FFDCDBDA"/>
      </left>
      <right/>
      <top style="thin">
        <color rgb="FFDCDBDA"/>
      </top>
      <bottom style="thin">
        <color rgb="FFDCDBDA"/>
      </bottom>
      <diagonal/>
    </border>
  </borders>
  <cellStyleXfs count="4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0" borderId="0"/>
    <xf numFmtId="0" fontId="7" fillId="0" borderId="0">
      <alignment vertical="center"/>
    </xf>
  </cellStyleXfs>
  <cellXfs count="23">
    <xf numFmtId="0" fontId="0" fillId="0" borderId="0" xfId="0">
      <alignment vertical="center"/>
    </xf>
    <xf numFmtId="14" fontId="1" fillId="2" borderId="3" xfId="0" applyNumberFormat="1" applyFont="1" applyFill="1" applyBorder="1" applyAlignment="1">
      <alignment horizontal="center" vertical="center" wrapText="1"/>
    </xf>
    <xf numFmtId="0" fontId="4" fillId="0" borderId="0" xfId="2"/>
    <xf numFmtId="14" fontId="4" fillId="0" borderId="0" xfId="2" applyNumberFormat="1"/>
    <xf numFmtId="41" fontId="6" fillId="0" borderId="0" xfId="1" applyFont="1" applyFill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left" vertical="center" wrapText="1"/>
    </xf>
    <xf numFmtId="49" fontId="5" fillId="0" borderId="5" xfId="0" applyNumberFormat="1" applyFont="1" applyBorder="1" applyAlignment="1">
      <alignment horizontal="center" vertical="center" wrapText="1"/>
    </xf>
    <xf numFmtId="14" fontId="5" fillId="0" borderId="5" xfId="0" applyNumberFormat="1" applyFont="1" applyBorder="1" applyAlignment="1">
      <alignment horizontal="center" vertical="center" wrapText="1"/>
    </xf>
    <xf numFmtId="14" fontId="5" fillId="0" borderId="0" xfId="0" applyNumberFormat="1" applyFont="1" applyAlignment="1">
      <alignment horizontal="center" vertical="center" wrapText="1"/>
    </xf>
    <xf numFmtId="0" fontId="6" fillId="0" borderId="0" xfId="0" applyFont="1">
      <alignment vertical="center"/>
    </xf>
    <xf numFmtId="0" fontId="6" fillId="0" borderId="5" xfId="0" quotePrefix="1" applyFont="1" applyBorder="1" applyAlignment="1">
      <alignment horizontal="left" vertical="center" wrapText="1"/>
    </xf>
    <xf numFmtId="49" fontId="1" fillId="2" borderId="2" xfId="0" applyNumberFormat="1" applyFont="1" applyFill="1" applyBorder="1" applyAlignment="1">
      <alignment horizontal="center" vertical="center" wrapText="1"/>
    </xf>
    <xf numFmtId="49" fontId="1" fillId="2" borderId="6" xfId="0" applyNumberFormat="1" applyFont="1" applyFill="1" applyBorder="1" applyAlignment="1">
      <alignment horizontal="center" vertical="center" wrapText="1"/>
    </xf>
    <xf numFmtId="49" fontId="1" fillId="2" borderId="7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2" borderId="8" xfId="0" applyNumberFormat="1" applyFont="1" applyFill="1" applyBorder="1" applyAlignment="1">
      <alignment horizontal="center" vertical="center" wrapText="1"/>
    </xf>
    <xf numFmtId="0" fontId="0" fillId="3" borderId="0" xfId="0" applyFill="1">
      <alignment vertical="center"/>
    </xf>
    <xf numFmtId="0" fontId="6" fillId="3" borderId="0" xfId="0" applyFont="1" applyFill="1">
      <alignment vertical="center"/>
    </xf>
  </cellXfs>
  <cellStyles count="4">
    <cellStyle name="쉼표 [0]" xfId="1" builtinId="6"/>
    <cellStyle name="표준" xfId="0" builtinId="0"/>
    <cellStyle name="표준 2" xfId="2" xr:uid="{C477B62E-D108-4CE9-9341-677609E56BF6}"/>
    <cellStyle name="표준 3" xfId="3" xr:uid="{31BA73CC-566E-4582-9A71-0062F57781F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B227-A248-4C22-87AE-96A7516882EF}">
  <dimension ref="A1:P137"/>
  <sheetViews>
    <sheetView tabSelected="1" zoomScaleNormal="100" zoomScaleSheetLayoutView="115" workbookViewId="0">
      <selection activeCell="A8" sqref="A8"/>
    </sheetView>
  </sheetViews>
  <sheetFormatPr defaultColWidth="9" defaultRowHeight="17.399999999999999"/>
  <cols>
    <col min="1" max="1" width="4.09765625" bestFit="1" customWidth="1"/>
    <col min="2" max="2" width="14.3984375" customWidth="1"/>
    <col min="3" max="3" width="29.69921875" customWidth="1"/>
    <col min="4" max="4" width="16.09765625" style="5" customWidth="1"/>
    <col min="5" max="5" width="10.5" style="5" customWidth="1"/>
    <col min="6" max="6" width="41.09765625" customWidth="1"/>
    <col min="7" max="7" width="6.19921875" style="5" customWidth="1"/>
    <col min="8" max="9" width="11.09765625" style="6" bestFit="1" customWidth="1"/>
    <col min="10" max="10" width="14.69921875" style="6" bestFit="1" customWidth="1"/>
    <col min="11" max="11" width="21.59765625" style="6" customWidth="1"/>
    <col min="12" max="12" width="13.09765625" customWidth="1"/>
    <col min="13" max="13" width="12.8984375" customWidth="1"/>
    <col min="14" max="14" width="9" style="21"/>
    <col min="15" max="15" width="11.296875" bestFit="1" customWidth="1"/>
  </cols>
  <sheetData>
    <row r="1" spans="1:16" ht="18" customHeight="1">
      <c r="A1" s="19" t="s">
        <v>0</v>
      </c>
      <c r="B1" s="16" t="s">
        <v>1</v>
      </c>
      <c r="C1" s="16" t="s">
        <v>199</v>
      </c>
      <c r="D1" s="17" t="s">
        <v>215</v>
      </c>
      <c r="E1" s="17" t="s">
        <v>200</v>
      </c>
      <c r="F1" s="16" t="s">
        <v>198</v>
      </c>
      <c r="G1" s="17" t="s">
        <v>224</v>
      </c>
      <c r="H1" s="20" t="s">
        <v>544</v>
      </c>
      <c r="I1" s="16"/>
      <c r="J1" s="17" t="s">
        <v>569</v>
      </c>
      <c r="K1" s="16" t="s">
        <v>222</v>
      </c>
      <c r="L1" s="16" t="s">
        <v>2</v>
      </c>
      <c r="M1" s="16" t="s">
        <v>3</v>
      </c>
    </row>
    <row r="2" spans="1:16" ht="27.75" customHeight="1">
      <c r="A2" s="19"/>
      <c r="B2" s="16"/>
      <c r="C2" s="16"/>
      <c r="D2" s="18"/>
      <c r="E2" s="18"/>
      <c r="F2" s="16"/>
      <c r="G2" s="18"/>
      <c r="H2" s="1" t="s">
        <v>545</v>
      </c>
      <c r="I2" s="1" t="s">
        <v>546</v>
      </c>
      <c r="J2" s="18"/>
      <c r="K2" s="16"/>
      <c r="L2" s="16"/>
      <c r="M2" s="16"/>
    </row>
    <row r="3" spans="1:16" s="14" customFormat="1" ht="18" customHeight="1">
      <c r="A3" s="7">
        <v>1</v>
      </c>
      <c r="B3" s="8" t="s">
        <v>133</v>
      </c>
      <c r="C3" s="8" t="s">
        <v>204</v>
      </c>
      <c r="D3" s="9" t="s">
        <v>220</v>
      </c>
      <c r="E3" s="9" t="s">
        <v>201</v>
      </c>
      <c r="F3" s="10" t="s">
        <v>190</v>
      </c>
      <c r="G3" s="11">
        <v>80</v>
      </c>
      <c r="H3" s="12" t="s">
        <v>620</v>
      </c>
      <c r="I3" s="12" t="s">
        <v>670</v>
      </c>
      <c r="J3" s="13" t="s">
        <v>570</v>
      </c>
      <c r="K3" s="4">
        <v>4851475</v>
      </c>
      <c r="L3" s="11" t="s">
        <v>134</v>
      </c>
      <c r="M3" s="11" t="s">
        <v>135</v>
      </c>
      <c r="N3" s="22"/>
      <c r="O3" s="14" t="s">
        <v>133</v>
      </c>
      <c r="P3" s="14" t="str">
        <f>IF(O3=B3,"YES","XXXXX")</f>
        <v>YES</v>
      </c>
    </row>
    <row r="4" spans="1:16" s="14" customFormat="1" ht="18" customHeight="1">
      <c r="A4" s="7">
        <v>2</v>
      </c>
      <c r="B4" s="8" t="s">
        <v>130</v>
      </c>
      <c r="C4" s="8" t="s">
        <v>205</v>
      </c>
      <c r="D4" s="9" t="s">
        <v>217</v>
      </c>
      <c r="E4" s="9" t="s">
        <v>201</v>
      </c>
      <c r="F4" s="10" t="s">
        <v>239</v>
      </c>
      <c r="G4" s="11">
        <v>100</v>
      </c>
      <c r="H4" s="12" t="s">
        <v>621</v>
      </c>
      <c r="I4" s="12" t="s">
        <v>621</v>
      </c>
      <c r="J4" s="13" t="s">
        <v>571</v>
      </c>
      <c r="K4" s="4">
        <v>3837750</v>
      </c>
      <c r="L4" s="11" t="s">
        <v>131</v>
      </c>
      <c r="M4" s="11" t="s">
        <v>132</v>
      </c>
      <c r="N4" s="22"/>
      <c r="O4" s="14" t="s">
        <v>130</v>
      </c>
      <c r="P4" s="14" t="str">
        <f t="shared" ref="P4:P67" si="0">IF(O4=B4,"YES","XXXXX")</f>
        <v>YES</v>
      </c>
    </row>
    <row r="5" spans="1:16" s="14" customFormat="1" ht="18" customHeight="1">
      <c r="A5" s="7">
        <v>3</v>
      </c>
      <c r="B5" s="8" t="s">
        <v>94</v>
      </c>
      <c r="C5" s="8" t="s">
        <v>205</v>
      </c>
      <c r="D5" s="9" t="s">
        <v>216</v>
      </c>
      <c r="E5" s="9" t="s">
        <v>201</v>
      </c>
      <c r="F5" s="10" t="s">
        <v>240</v>
      </c>
      <c r="G5" s="11">
        <v>100</v>
      </c>
      <c r="H5" s="12" t="s">
        <v>622</v>
      </c>
      <c r="I5" s="12" t="s">
        <v>671</v>
      </c>
      <c r="J5" s="13" t="s">
        <v>570</v>
      </c>
      <c r="K5" s="4">
        <v>2185475</v>
      </c>
      <c r="L5" s="11" t="s">
        <v>95</v>
      </c>
      <c r="M5" s="11" t="s">
        <v>96</v>
      </c>
      <c r="N5" s="22"/>
      <c r="O5" s="14" t="s">
        <v>94</v>
      </c>
      <c r="P5" s="14" t="str">
        <f t="shared" si="0"/>
        <v>YES</v>
      </c>
    </row>
    <row r="6" spans="1:16" s="14" customFormat="1" ht="18" customHeight="1">
      <c r="A6" s="7">
        <v>4</v>
      </c>
      <c r="B6" s="8" t="s">
        <v>91</v>
      </c>
      <c r="C6" s="8" t="s">
        <v>205</v>
      </c>
      <c r="D6" s="9" t="s">
        <v>216</v>
      </c>
      <c r="E6" s="9" t="s">
        <v>201</v>
      </c>
      <c r="F6" s="10" t="s">
        <v>241</v>
      </c>
      <c r="G6" s="11">
        <v>100</v>
      </c>
      <c r="H6" s="12" t="s">
        <v>623</v>
      </c>
      <c r="I6" s="12" t="s">
        <v>623</v>
      </c>
      <c r="J6" s="13" t="s">
        <v>570</v>
      </c>
      <c r="K6" s="4">
        <v>1106175</v>
      </c>
      <c r="L6" s="11" t="s">
        <v>92</v>
      </c>
      <c r="M6" s="11" t="s">
        <v>93</v>
      </c>
      <c r="N6" s="22"/>
      <c r="O6" s="14" t="s">
        <v>91</v>
      </c>
      <c r="P6" s="14" t="str">
        <f t="shared" si="0"/>
        <v>YES</v>
      </c>
    </row>
    <row r="7" spans="1:16" s="14" customFormat="1" ht="18" customHeight="1">
      <c r="A7" s="7">
        <v>5</v>
      </c>
      <c r="B7" s="8" t="s">
        <v>139</v>
      </c>
      <c r="C7" s="8" t="s">
        <v>205</v>
      </c>
      <c r="D7" s="9" t="s">
        <v>218</v>
      </c>
      <c r="E7" s="9" t="s">
        <v>201</v>
      </c>
      <c r="F7" s="10" t="s">
        <v>242</v>
      </c>
      <c r="G7" s="11">
        <v>100</v>
      </c>
      <c r="H7" s="12" t="s">
        <v>624</v>
      </c>
      <c r="I7" s="12" t="s">
        <v>647</v>
      </c>
      <c r="J7" s="13" t="s">
        <v>570</v>
      </c>
      <c r="K7" s="4">
        <v>589100</v>
      </c>
      <c r="L7" s="11" t="s">
        <v>140</v>
      </c>
      <c r="M7" s="11" t="s">
        <v>141</v>
      </c>
      <c r="N7" s="22"/>
      <c r="O7" s="14" t="s">
        <v>139</v>
      </c>
      <c r="P7" s="14" t="str">
        <f t="shared" si="0"/>
        <v>YES</v>
      </c>
    </row>
    <row r="8" spans="1:16" s="14" customFormat="1" ht="18" customHeight="1">
      <c r="A8" s="7">
        <v>6</v>
      </c>
      <c r="B8" s="8" t="s">
        <v>136</v>
      </c>
      <c r="C8" s="8" t="s">
        <v>205</v>
      </c>
      <c r="D8" s="9" t="s">
        <v>218</v>
      </c>
      <c r="E8" s="9" t="s">
        <v>201</v>
      </c>
      <c r="F8" s="10" t="s">
        <v>243</v>
      </c>
      <c r="G8" s="11">
        <v>100</v>
      </c>
      <c r="H8" s="12" t="s">
        <v>624</v>
      </c>
      <c r="I8" s="12" t="s">
        <v>647</v>
      </c>
      <c r="J8" s="13" t="s">
        <v>570</v>
      </c>
      <c r="K8" s="4">
        <v>4390300</v>
      </c>
      <c r="L8" s="11" t="s">
        <v>137</v>
      </c>
      <c r="M8" s="11" t="s">
        <v>138</v>
      </c>
      <c r="N8" s="22"/>
      <c r="O8" s="14" t="s">
        <v>136</v>
      </c>
      <c r="P8" s="14" t="str">
        <f t="shared" si="0"/>
        <v>YES</v>
      </c>
    </row>
    <row r="9" spans="1:16" s="14" customFormat="1" ht="18" customHeight="1">
      <c r="A9" s="7">
        <v>7</v>
      </c>
      <c r="B9" s="8" t="s">
        <v>88</v>
      </c>
      <c r="C9" s="8" t="s">
        <v>205</v>
      </c>
      <c r="D9" s="9" t="s">
        <v>216</v>
      </c>
      <c r="E9" s="9" t="s">
        <v>202</v>
      </c>
      <c r="F9" s="10" t="s">
        <v>244</v>
      </c>
      <c r="G9" s="11">
        <v>100</v>
      </c>
      <c r="H9" s="12" t="s">
        <v>623</v>
      </c>
      <c r="I9" s="12" t="s">
        <v>623</v>
      </c>
      <c r="J9" s="13" t="s">
        <v>570</v>
      </c>
      <c r="K9" s="4">
        <v>861075</v>
      </c>
      <c r="L9" s="11" t="s">
        <v>89</v>
      </c>
      <c r="M9" s="11" t="s">
        <v>90</v>
      </c>
      <c r="N9" s="22"/>
      <c r="O9" s="14" t="s">
        <v>88</v>
      </c>
      <c r="P9" s="14" t="str">
        <f t="shared" si="0"/>
        <v>YES</v>
      </c>
    </row>
    <row r="10" spans="1:16" s="14" customFormat="1" ht="18" customHeight="1">
      <c r="A10" s="7">
        <v>8</v>
      </c>
      <c r="B10" s="8" t="s">
        <v>85</v>
      </c>
      <c r="C10" s="8" t="s">
        <v>205</v>
      </c>
      <c r="D10" s="9" t="s">
        <v>216</v>
      </c>
      <c r="E10" s="9" t="s">
        <v>201</v>
      </c>
      <c r="F10" s="10" t="s">
        <v>245</v>
      </c>
      <c r="G10" s="11">
        <v>100</v>
      </c>
      <c r="H10" s="12" t="s">
        <v>625</v>
      </c>
      <c r="I10" s="12" t="s">
        <v>672</v>
      </c>
      <c r="J10" s="13" t="s">
        <v>570</v>
      </c>
      <c r="K10" s="4">
        <v>5262125</v>
      </c>
      <c r="L10" s="11" t="s">
        <v>86</v>
      </c>
      <c r="M10" s="11" t="s">
        <v>87</v>
      </c>
      <c r="N10" s="22"/>
      <c r="O10" s="14" t="s">
        <v>85</v>
      </c>
      <c r="P10" s="14" t="str">
        <f t="shared" si="0"/>
        <v>YES</v>
      </c>
    </row>
    <row r="11" spans="1:16" s="14" customFormat="1" ht="18" customHeight="1">
      <c r="A11" s="7">
        <v>9</v>
      </c>
      <c r="B11" s="8" t="s">
        <v>82</v>
      </c>
      <c r="C11" s="8" t="s">
        <v>206</v>
      </c>
      <c r="D11" s="9" t="s">
        <v>216</v>
      </c>
      <c r="E11" s="9" t="s">
        <v>201</v>
      </c>
      <c r="F11" s="10" t="s">
        <v>246</v>
      </c>
      <c r="G11" s="11">
        <v>100</v>
      </c>
      <c r="H11" s="12" t="s">
        <v>626</v>
      </c>
      <c r="I11" s="12" t="s">
        <v>646</v>
      </c>
      <c r="J11" s="13" t="s">
        <v>570</v>
      </c>
      <c r="K11" s="4">
        <v>5571725</v>
      </c>
      <c r="L11" s="11" t="s">
        <v>83</v>
      </c>
      <c r="M11" s="11" t="s">
        <v>84</v>
      </c>
      <c r="N11" s="22"/>
      <c r="O11" s="14" t="s">
        <v>82</v>
      </c>
      <c r="P11" s="14" t="str">
        <f t="shared" si="0"/>
        <v>YES</v>
      </c>
    </row>
    <row r="12" spans="1:16" s="14" customFormat="1" ht="18" customHeight="1">
      <c r="A12" s="7">
        <v>10</v>
      </c>
      <c r="B12" s="8" t="s">
        <v>79</v>
      </c>
      <c r="C12" s="8" t="s">
        <v>206</v>
      </c>
      <c r="D12" s="9" t="s">
        <v>216</v>
      </c>
      <c r="E12" s="9" t="s">
        <v>201</v>
      </c>
      <c r="F12" s="10" t="s">
        <v>247</v>
      </c>
      <c r="G12" s="11">
        <v>100</v>
      </c>
      <c r="H12" s="12" t="s">
        <v>625</v>
      </c>
      <c r="I12" s="12" t="s">
        <v>646</v>
      </c>
      <c r="J12" s="13" t="s">
        <v>570</v>
      </c>
      <c r="K12" s="4">
        <v>5792100</v>
      </c>
      <c r="L12" s="11" t="s">
        <v>80</v>
      </c>
      <c r="M12" s="11" t="s">
        <v>81</v>
      </c>
      <c r="N12" s="22"/>
      <c r="O12" s="14" t="s">
        <v>79</v>
      </c>
      <c r="P12" s="14" t="str">
        <f t="shared" si="0"/>
        <v>YES</v>
      </c>
    </row>
    <row r="13" spans="1:16" s="14" customFormat="1" ht="18" customHeight="1">
      <c r="A13" s="7">
        <v>11</v>
      </c>
      <c r="B13" s="8" t="s">
        <v>76</v>
      </c>
      <c r="C13" s="8" t="s">
        <v>205</v>
      </c>
      <c r="D13" s="9" t="s">
        <v>216</v>
      </c>
      <c r="E13" s="9" t="s">
        <v>201</v>
      </c>
      <c r="F13" s="10" t="s">
        <v>248</v>
      </c>
      <c r="G13" s="11">
        <v>100</v>
      </c>
      <c r="H13" s="12" t="s">
        <v>627</v>
      </c>
      <c r="I13" s="12" t="s">
        <v>648</v>
      </c>
      <c r="J13" s="13" t="s">
        <v>570</v>
      </c>
      <c r="K13" s="4">
        <v>4416100</v>
      </c>
      <c r="L13" s="11" t="s">
        <v>77</v>
      </c>
      <c r="M13" s="11" t="s">
        <v>78</v>
      </c>
      <c r="N13" s="22"/>
      <c r="O13" s="14" t="s">
        <v>76</v>
      </c>
      <c r="P13" s="14" t="str">
        <f t="shared" si="0"/>
        <v>YES</v>
      </c>
    </row>
    <row r="14" spans="1:16" s="14" customFormat="1" ht="18" customHeight="1">
      <c r="A14" s="7">
        <v>12</v>
      </c>
      <c r="B14" s="8" t="s">
        <v>73</v>
      </c>
      <c r="C14" s="8" t="s">
        <v>205</v>
      </c>
      <c r="D14" s="9" t="s">
        <v>216</v>
      </c>
      <c r="E14" s="9" t="s">
        <v>201</v>
      </c>
      <c r="F14" s="10" t="s">
        <v>203</v>
      </c>
      <c r="G14" s="11">
        <v>100</v>
      </c>
      <c r="H14" s="12" t="s">
        <v>628</v>
      </c>
      <c r="I14" s="12" t="s">
        <v>639</v>
      </c>
      <c r="J14" s="13" t="s">
        <v>570</v>
      </c>
      <c r="K14" s="4">
        <v>7660450</v>
      </c>
      <c r="L14" s="11" t="s">
        <v>74</v>
      </c>
      <c r="M14" s="11" t="s">
        <v>75</v>
      </c>
      <c r="N14" s="22"/>
      <c r="O14" s="14" t="s">
        <v>73</v>
      </c>
      <c r="P14" s="14" t="str">
        <f t="shared" si="0"/>
        <v>YES</v>
      </c>
    </row>
    <row r="15" spans="1:16" s="14" customFormat="1" ht="18" customHeight="1">
      <c r="A15" s="7">
        <v>13</v>
      </c>
      <c r="B15" s="8" t="s">
        <v>70</v>
      </c>
      <c r="C15" s="8" t="s">
        <v>205</v>
      </c>
      <c r="D15" s="9" t="s">
        <v>216</v>
      </c>
      <c r="E15" s="9" t="s">
        <v>201</v>
      </c>
      <c r="F15" s="10" t="s">
        <v>249</v>
      </c>
      <c r="G15" s="11">
        <v>100</v>
      </c>
      <c r="H15" s="12" t="s">
        <v>629</v>
      </c>
      <c r="I15" s="12" t="s">
        <v>673</v>
      </c>
      <c r="J15" s="13" t="s">
        <v>570</v>
      </c>
      <c r="K15" s="4">
        <v>1674850</v>
      </c>
      <c r="L15" s="11" t="s">
        <v>71</v>
      </c>
      <c r="M15" s="11" t="s">
        <v>72</v>
      </c>
      <c r="N15" s="22"/>
      <c r="O15" s="14" t="s">
        <v>70</v>
      </c>
      <c r="P15" s="14" t="str">
        <f t="shared" si="0"/>
        <v>YES</v>
      </c>
    </row>
    <row r="16" spans="1:16" s="14" customFormat="1" ht="18" customHeight="1">
      <c r="A16" s="7">
        <v>14</v>
      </c>
      <c r="B16" s="8" t="s">
        <v>67</v>
      </c>
      <c r="C16" s="8" t="s">
        <v>205</v>
      </c>
      <c r="D16" s="9" t="s">
        <v>216</v>
      </c>
      <c r="E16" s="9" t="s">
        <v>201</v>
      </c>
      <c r="F16" s="10" t="s">
        <v>212</v>
      </c>
      <c r="G16" s="11">
        <v>100</v>
      </c>
      <c r="H16" s="12" t="s">
        <v>626</v>
      </c>
      <c r="I16" s="12" t="s">
        <v>648</v>
      </c>
      <c r="J16" s="13" t="s">
        <v>571</v>
      </c>
      <c r="K16" s="4">
        <v>3789375</v>
      </c>
      <c r="L16" s="11" t="s">
        <v>68</v>
      </c>
      <c r="M16" s="11" t="s">
        <v>69</v>
      </c>
      <c r="N16" s="22"/>
      <c r="O16" s="14" t="s">
        <v>67</v>
      </c>
      <c r="P16" s="14" t="str">
        <f t="shared" si="0"/>
        <v>YES</v>
      </c>
    </row>
    <row r="17" spans="1:16" s="14" customFormat="1" ht="18" customHeight="1">
      <c r="A17" s="7">
        <v>15</v>
      </c>
      <c r="B17" s="8" t="s">
        <v>145</v>
      </c>
      <c r="C17" s="8" t="s">
        <v>207</v>
      </c>
      <c r="D17" s="9" t="s">
        <v>219</v>
      </c>
      <c r="E17" s="9" t="s">
        <v>201</v>
      </c>
      <c r="F17" s="10" t="s">
        <v>250</v>
      </c>
      <c r="G17" s="11">
        <v>100</v>
      </c>
      <c r="H17" s="12" t="s">
        <v>630</v>
      </c>
      <c r="I17" s="12" t="s">
        <v>651</v>
      </c>
      <c r="J17" s="13" t="s">
        <v>570</v>
      </c>
      <c r="K17" s="4">
        <v>1187875</v>
      </c>
      <c r="L17" s="11" t="s">
        <v>146</v>
      </c>
      <c r="M17" s="11" t="s">
        <v>147</v>
      </c>
      <c r="N17" s="22"/>
      <c r="O17" s="14" t="s">
        <v>145</v>
      </c>
      <c r="P17" s="14" t="str">
        <f t="shared" si="0"/>
        <v>YES</v>
      </c>
    </row>
    <row r="18" spans="1:16" s="14" customFormat="1" ht="18" customHeight="1">
      <c r="A18" s="7">
        <v>16</v>
      </c>
      <c r="B18" s="8" t="s">
        <v>299</v>
      </c>
      <c r="C18" s="8" t="s">
        <v>296</v>
      </c>
      <c r="D18" s="9" t="s">
        <v>221</v>
      </c>
      <c r="E18" s="9" t="s">
        <v>201</v>
      </c>
      <c r="F18" s="10" t="s">
        <v>393</v>
      </c>
      <c r="G18" s="11" t="s">
        <v>585</v>
      </c>
      <c r="H18" s="12" t="s">
        <v>631</v>
      </c>
      <c r="I18" s="12" t="s">
        <v>631</v>
      </c>
      <c r="J18" s="13" t="s">
        <v>572</v>
      </c>
      <c r="K18" s="4">
        <v>1075000</v>
      </c>
      <c r="L18" s="11" t="s">
        <v>337</v>
      </c>
      <c r="M18" s="11" t="s">
        <v>375</v>
      </c>
      <c r="N18" s="22"/>
      <c r="O18" s="14" t="s">
        <v>299</v>
      </c>
      <c r="P18" s="14" t="str">
        <f t="shared" si="0"/>
        <v>YES</v>
      </c>
    </row>
    <row r="19" spans="1:16" s="14" customFormat="1" ht="18" customHeight="1">
      <c r="A19" s="7">
        <v>17</v>
      </c>
      <c r="B19" s="8" t="s">
        <v>64</v>
      </c>
      <c r="C19" s="8" t="s">
        <v>206</v>
      </c>
      <c r="D19" s="9" t="s">
        <v>216</v>
      </c>
      <c r="E19" s="9" t="s">
        <v>201</v>
      </c>
      <c r="F19" s="10" t="s">
        <v>252</v>
      </c>
      <c r="G19" s="11">
        <v>100</v>
      </c>
      <c r="H19" s="12" t="s">
        <v>632</v>
      </c>
      <c r="I19" s="12" t="s">
        <v>674</v>
      </c>
      <c r="J19" s="13" t="s">
        <v>570</v>
      </c>
      <c r="K19" s="4">
        <v>3465800</v>
      </c>
      <c r="L19" s="11" t="s">
        <v>65</v>
      </c>
      <c r="M19" s="11" t="s">
        <v>66</v>
      </c>
      <c r="N19" s="22"/>
      <c r="O19" s="14" t="s">
        <v>64</v>
      </c>
      <c r="P19" s="14" t="str">
        <f t="shared" si="0"/>
        <v>YES</v>
      </c>
    </row>
    <row r="20" spans="1:16" s="14" customFormat="1" ht="18" customHeight="1">
      <c r="A20" s="7">
        <v>18</v>
      </c>
      <c r="B20" s="8" t="s">
        <v>61</v>
      </c>
      <c r="C20" s="8" t="s">
        <v>209</v>
      </c>
      <c r="D20" s="9" t="s">
        <v>216</v>
      </c>
      <c r="E20" s="9" t="s">
        <v>201</v>
      </c>
      <c r="F20" s="10" t="s">
        <v>253</v>
      </c>
      <c r="G20" s="11">
        <v>100</v>
      </c>
      <c r="H20" s="12" t="s">
        <v>633</v>
      </c>
      <c r="I20" s="12" t="s">
        <v>648</v>
      </c>
      <c r="J20" s="13" t="s">
        <v>570</v>
      </c>
      <c r="K20" s="4">
        <v>1230875</v>
      </c>
      <c r="L20" s="11" t="s">
        <v>62</v>
      </c>
      <c r="M20" s="11" t="s">
        <v>63</v>
      </c>
      <c r="N20" s="22"/>
      <c r="O20" s="14" t="s">
        <v>61</v>
      </c>
      <c r="P20" s="14" t="str">
        <f t="shared" si="0"/>
        <v>YES</v>
      </c>
    </row>
    <row r="21" spans="1:16" s="14" customFormat="1" ht="18" customHeight="1">
      <c r="A21" s="7">
        <v>19</v>
      </c>
      <c r="B21" s="8" t="s">
        <v>58</v>
      </c>
      <c r="C21" s="8" t="s">
        <v>206</v>
      </c>
      <c r="D21" s="9" t="s">
        <v>216</v>
      </c>
      <c r="E21" s="9" t="s">
        <v>201</v>
      </c>
      <c r="F21" s="10" t="s">
        <v>254</v>
      </c>
      <c r="G21" s="11">
        <v>100</v>
      </c>
      <c r="H21" s="12" t="s">
        <v>634</v>
      </c>
      <c r="I21" s="12" t="s">
        <v>675</v>
      </c>
      <c r="J21" s="13" t="s">
        <v>570</v>
      </c>
      <c r="K21" s="4">
        <v>5234175</v>
      </c>
      <c r="L21" s="11" t="s">
        <v>59</v>
      </c>
      <c r="M21" s="11" t="s">
        <v>60</v>
      </c>
      <c r="N21" s="22"/>
      <c r="O21" s="14" t="s">
        <v>58</v>
      </c>
      <c r="P21" s="14" t="str">
        <f t="shared" si="0"/>
        <v>YES</v>
      </c>
    </row>
    <row r="22" spans="1:16" s="14" customFormat="1" ht="18" customHeight="1">
      <c r="A22" s="7">
        <v>20</v>
      </c>
      <c r="B22" s="8" t="s">
        <v>55</v>
      </c>
      <c r="C22" s="8" t="s">
        <v>206</v>
      </c>
      <c r="D22" s="9" t="s">
        <v>216</v>
      </c>
      <c r="E22" s="9" t="s">
        <v>201</v>
      </c>
      <c r="F22" s="10" t="s">
        <v>255</v>
      </c>
      <c r="G22" s="11">
        <v>100</v>
      </c>
      <c r="H22" s="12" t="s">
        <v>635</v>
      </c>
      <c r="I22" s="12" t="s">
        <v>675</v>
      </c>
      <c r="J22" s="13" t="s">
        <v>570</v>
      </c>
      <c r="K22" s="4">
        <v>4200025</v>
      </c>
      <c r="L22" s="11" t="s">
        <v>56</v>
      </c>
      <c r="M22" s="11" t="s">
        <v>57</v>
      </c>
      <c r="N22" s="22"/>
      <c r="O22" s="14" t="s">
        <v>55</v>
      </c>
      <c r="P22" s="14" t="str">
        <f t="shared" si="0"/>
        <v>YES</v>
      </c>
    </row>
    <row r="23" spans="1:16" s="14" customFormat="1" ht="18" customHeight="1">
      <c r="A23" s="7">
        <v>21</v>
      </c>
      <c r="B23" s="8" t="s">
        <v>52</v>
      </c>
      <c r="C23" s="8" t="s">
        <v>206</v>
      </c>
      <c r="D23" s="9" t="s">
        <v>216</v>
      </c>
      <c r="E23" s="9" t="s">
        <v>201</v>
      </c>
      <c r="F23" s="10" t="s">
        <v>256</v>
      </c>
      <c r="G23" s="11">
        <v>100</v>
      </c>
      <c r="H23" s="12" t="s">
        <v>636</v>
      </c>
      <c r="I23" s="12" t="s">
        <v>640</v>
      </c>
      <c r="J23" s="13" t="s">
        <v>570</v>
      </c>
      <c r="K23" s="4">
        <v>3594800</v>
      </c>
      <c r="L23" s="11" t="s">
        <v>53</v>
      </c>
      <c r="M23" s="11" t="s">
        <v>54</v>
      </c>
      <c r="N23" s="22"/>
      <c r="O23" s="14" t="s">
        <v>52</v>
      </c>
      <c r="P23" s="14" t="str">
        <f t="shared" si="0"/>
        <v>YES</v>
      </c>
    </row>
    <row r="24" spans="1:16" s="14" customFormat="1" ht="18" customHeight="1">
      <c r="A24" s="7">
        <v>22</v>
      </c>
      <c r="B24" s="8" t="s">
        <v>49</v>
      </c>
      <c r="C24" s="8" t="s">
        <v>206</v>
      </c>
      <c r="D24" s="9" t="s">
        <v>216</v>
      </c>
      <c r="E24" s="9" t="s">
        <v>201</v>
      </c>
      <c r="F24" s="10" t="s">
        <v>223</v>
      </c>
      <c r="G24" s="11">
        <v>100</v>
      </c>
      <c r="H24" s="12" t="s">
        <v>636</v>
      </c>
      <c r="I24" s="12" t="s">
        <v>640</v>
      </c>
      <c r="J24" s="13" t="s">
        <v>570</v>
      </c>
      <c r="K24" s="4">
        <v>2789625</v>
      </c>
      <c r="L24" s="11" t="s">
        <v>50</v>
      </c>
      <c r="M24" s="11" t="s">
        <v>51</v>
      </c>
      <c r="N24" s="22"/>
      <c r="O24" s="14" t="s">
        <v>49</v>
      </c>
      <c r="P24" s="14" t="str">
        <f t="shared" si="0"/>
        <v>YES</v>
      </c>
    </row>
    <row r="25" spans="1:16" s="14" customFormat="1" ht="18" customHeight="1">
      <c r="A25" s="7">
        <v>23</v>
      </c>
      <c r="B25" s="8" t="s">
        <v>46</v>
      </c>
      <c r="C25" s="8" t="s">
        <v>206</v>
      </c>
      <c r="D25" s="9" t="s">
        <v>216</v>
      </c>
      <c r="E25" s="9" t="s">
        <v>201</v>
      </c>
      <c r="F25" s="10" t="s">
        <v>257</v>
      </c>
      <c r="G25" s="11">
        <v>100</v>
      </c>
      <c r="H25" s="12" t="s">
        <v>632</v>
      </c>
      <c r="I25" s="12" t="s">
        <v>674</v>
      </c>
      <c r="J25" s="13" t="s">
        <v>570</v>
      </c>
      <c r="K25" s="4">
        <v>2789625</v>
      </c>
      <c r="L25" s="11" t="s">
        <v>47</v>
      </c>
      <c r="M25" s="11" t="s">
        <v>48</v>
      </c>
      <c r="N25" s="22"/>
      <c r="O25" s="14" t="s">
        <v>46</v>
      </c>
      <c r="P25" s="14" t="str">
        <f t="shared" si="0"/>
        <v>YES</v>
      </c>
    </row>
    <row r="26" spans="1:16" s="14" customFormat="1" ht="18" customHeight="1">
      <c r="A26" s="7">
        <v>24</v>
      </c>
      <c r="B26" s="8" t="s">
        <v>43</v>
      </c>
      <c r="C26" s="8" t="s">
        <v>209</v>
      </c>
      <c r="D26" s="9" t="s">
        <v>216</v>
      </c>
      <c r="E26" s="9" t="s">
        <v>201</v>
      </c>
      <c r="F26" s="10" t="s">
        <v>258</v>
      </c>
      <c r="G26" s="11">
        <v>90</v>
      </c>
      <c r="H26" s="12" t="s">
        <v>637</v>
      </c>
      <c r="I26" s="12" t="s">
        <v>644</v>
      </c>
      <c r="J26" s="13" t="s">
        <v>570</v>
      </c>
      <c r="K26" s="4">
        <v>1174975</v>
      </c>
      <c r="L26" s="11" t="s">
        <v>44</v>
      </c>
      <c r="M26" s="11" t="s">
        <v>45</v>
      </c>
      <c r="N26" s="22"/>
      <c r="O26" s="14" t="s">
        <v>43</v>
      </c>
      <c r="P26" s="14" t="str">
        <f t="shared" si="0"/>
        <v>YES</v>
      </c>
    </row>
    <row r="27" spans="1:16" s="14" customFormat="1" ht="18" customHeight="1">
      <c r="A27" s="7">
        <v>25</v>
      </c>
      <c r="B27" s="8" t="s">
        <v>40</v>
      </c>
      <c r="C27" s="8" t="s">
        <v>206</v>
      </c>
      <c r="D27" s="9" t="s">
        <v>216</v>
      </c>
      <c r="E27" s="9" t="s">
        <v>201</v>
      </c>
      <c r="F27" s="10" t="s">
        <v>259</v>
      </c>
      <c r="G27" s="11">
        <v>100</v>
      </c>
      <c r="H27" s="12" t="s">
        <v>638</v>
      </c>
      <c r="I27" s="12" t="s">
        <v>647</v>
      </c>
      <c r="J27" s="13" t="s">
        <v>570</v>
      </c>
      <c r="K27" s="4">
        <v>5571725</v>
      </c>
      <c r="L27" s="11" t="s">
        <v>41</v>
      </c>
      <c r="M27" s="11" t="s">
        <v>42</v>
      </c>
      <c r="N27" s="22"/>
      <c r="O27" s="14" t="s">
        <v>40</v>
      </c>
      <c r="P27" s="14" t="str">
        <f t="shared" si="0"/>
        <v>YES</v>
      </c>
    </row>
    <row r="28" spans="1:16" s="14" customFormat="1" ht="18" customHeight="1">
      <c r="A28" s="7">
        <v>26</v>
      </c>
      <c r="B28" s="8" t="s">
        <v>37</v>
      </c>
      <c r="C28" s="8" t="s">
        <v>209</v>
      </c>
      <c r="D28" s="9" t="s">
        <v>216</v>
      </c>
      <c r="E28" s="9" t="s">
        <v>201</v>
      </c>
      <c r="F28" s="10" t="s">
        <v>260</v>
      </c>
      <c r="G28" s="11">
        <v>100</v>
      </c>
      <c r="H28" s="12" t="s">
        <v>633</v>
      </c>
      <c r="I28" s="12" t="s">
        <v>648</v>
      </c>
      <c r="J28" s="13" t="s">
        <v>570</v>
      </c>
      <c r="K28" s="4">
        <v>1174975</v>
      </c>
      <c r="L28" s="11" t="s">
        <v>38</v>
      </c>
      <c r="M28" s="11" t="s">
        <v>39</v>
      </c>
      <c r="N28" s="22"/>
      <c r="O28" s="14" t="s">
        <v>37</v>
      </c>
      <c r="P28" s="14" t="str">
        <f t="shared" si="0"/>
        <v>YES</v>
      </c>
    </row>
    <row r="29" spans="1:16" s="14" customFormat="1" ht="18" customHeight="1">
      <c r="A29" s="7">
        <v>27</v>
      </c>
      <c r="B29" s="8" t="s">
        <v>34</v>
      </c>
      <c r="C29" s="8" t="s">
        <v>206</v>
      </c>
      <c r="D29" s="9" t="s">
        <v>216</v>
      </c>
      <c r="E29" s="9" t="s">
        <v>201</v>
      </c>
      <c r="F29" s="10" t="s">
        <v>261</v>
      </c>
      <c r="G29" s="11">
        <v>100</v>
      </c>
      <c r="H29" s="12" t="s">
        <v>639</v>
      </c>
      <c r="I29" s="12" t="s">
        <v>641</v>
      </c>
      <c r="J29" s="13" t="s">
        <v>570</v>
      </c>
      <c r="K29" s="4">
        <v>4708500</v>
      </c>
      <c r="L29" s="11" t="s">
        <v>35</v>
      </c>
      <c r="M29" s="11" t="s">
        <v>36</v>
      </c>
      <c r="N29" s="22"/>
      <c r="O29" s="14" t="s">
        <v>34</v>
      </c>
      <c r="P29" s="14" t="str">
        <f t="shared" si="0"/>
        <v>YES</v>
      </c>
    </row>
    <row r="30" spans="1:16" s="14" customFormat="1" ht="18" customHeight="1">
      <c r="A30" s="7">
        <v>28</v>
      </c>
      <c r="B30" s="8" t="s">
        <v>31</v>
      </c>
      <c r="C30" s="8" t="s">
        <v>205</v>
      </c>
      <c r="D30" s="9" t="s">
        <v>216</v>
      </c>
      <c r="E30" s="9" t="s">
        <v>201</v>
      </c>
      <c r="F30" s="10" t="s">
        <v>262</v>
      </c>
      <c r="G30" s="11">
        <v>100</v>
      </c>
      <c r="H30" s="12" t="s">
        <v>640</v>
      </c>
      <c r="I30" s="12" t="s">
        <v>633</v>
      </c>
      <c r="J30" s="13" t="s">
        <v>570</v>
      </c>
      <c r="K30" s="4">
        <v>2517650</v>
      </c>
      <c r="L30" s="11" t="s">
        <v>32</v>
      </c>
      <c r="M30" s="11" t="s">
        <v>33</v>
      </c>
      <c r="N30" s="22"/>
      <c r="O30" s="14" t="s">
        <v>31</v>
      </c>
      <c r="P30" s="14" t="str">
        <f t="shared" si="0"/>
        <v>YES</v>
      </c>
    </row>
    <row r="31" spans="1:16" s="14" customFormat="1" ht="18" customHeight="1">
      <c r="A31" s="7">
        <v>29</v>
      </c>
      <c r="B31" s="8" t="s">
        <v>28</v>
      </c>
      <c r="C31" s="8" t="s">
        <v>205</v>
      </c>
      <c r="D31" s="9" t="s">
        <v>216</v>
      </c>
      <c r="E31" s="9" t="s">
        <v>201</v>
      </c>
      <c r="F31" s="10" t="s">
        <v>263</v>
      </c>
      <c r="G31" s="11">
        <v>100</v>
      </c>
      <c r="H31" s="12" t="s">
        <v>640</v>
      </c>
      <c r="I31" s="12" t="s">
        <v>633</v>
      </c>
      <c r="J31" s="13" t="s">
        <v>570</v>
      </c>
      <c r="K31" s="4">
        <v>3240050</v>
      </c>
      <c r="L31" s="11" t="s">
        <v>29</v>
      </c>
      <c r="M31" s="11" t="s">
        <v>30</v>
      </c>
      <c r="N31" s="22"/>
      <c r="O31" s="14" t="s">
        <v>28</v>
      </c>
      <c r="P31" s="14" t="str">
        <f t="shared" si="0"/>
        <v>YES</v>
      </c>
    </row>
    <row r="32" spans="1:16" s="14" customFormat="1" ht="18" customHeight="1">
      <c r="A32" s="7">
        <v>30</v>
      </c>
      <c r="B32" s="8" t="s">
        <v>25</v>
      </c>
      <c r="C32" s="8" t="s">
        <v>206</v>
      </c>
      <c r="D32" s="9" t="s">
        <v>216</v>
      </c>
      <c r="E32" s="9" t="s">
        <v>201</v>
      </c>
      <c r="F32" s="10" t="s">
        <v>264</v>
      </c>
      <c r="G32" s="11">
        <v>100</v>
      </c>
      <c r="H32" s="12" t="s">
        <v>623</v>
      </c>
      <c r="I32" s="12" t="s">
        <v>651</v>
      </c>
      <c r="J32" s="13" t="s">
        <v>570</v>
      </c>
      <c r="K32" s="4">
        <v>5571725</v>
      </c>
      <c r="L32" s="11" t="s">
        <v>26</v>
      </c>
      <c r="M32" s="11" t="s">
        <v>27</v>
      </c>
      <c r="N32" s="22"/>
      <c r="O32" s="14" t="s">
        <v>25</v>
      </c>
      <c r="P32" s="14" t="str">
        <f t="shared" si="0"/>
        <v>YES</v>
      </c>
    </row>
    <row r="33" spans="1:16" s="14" customFormat="1" ht="18" customHeight="1">
      <c r="A33" s="7">
        <v>31</v>
      </c>
      <c r="B33" s="8" t="s">
        <v>22</v>
      </c>
      <c r="C33" s="8" t="s">
        <v>206</v>
      </c>
      <c r="D33" s="9" t="s">
        <v>216</v>
      </c>
      <c r="E33" s="9" t="s">
        <v>201</v>
      </c>
      <c r="F33" s="10" t="s">
        <v>265</v>
      </c>
      <c r="G33" s="11">
        <v>100</v>
      </c>
      <c r="H33" s="12" t="s">
        <v>639</v>
      </c>
      <c r="I33" s="12" t="s">
        <v>641</v>
      </c>
      <c r="J33" s="13" t="s">
        <v>570</v>
      </c>
      <c r="K33" s="4">
        <v>4708500</v>
      </c>
      <c r="L33" s="11" t="s">
        <v>23</v>
      </c>
      <c r="M33" s="11" t="s">
        <v>24</v>
      </c>
      <c r="N33" s="22"/>
      <c r="O33" s="14" t="s">
        <v>22</v>
      </c>
      <c r="P33" s="14" t="str">
        <f t="shared" si="0"/>
        <v>YES</v>
      </c>
    </row>
    <row r="34" spans="1:16" s="14" customFormat="1" ht="18" customHeight="1">
      <c r="A34" s="7">
        <v>32</v>
      </c>
      <c r="B34" s="8" t="s">
        <v>19</v>
      </c>
      <c r="C34" s="8" t="s">
        <v>210</v>
      </c>
      <c r="D34" s="9" t="s">
        <v>216</v>
      </c>
      <c r="E34" s="9" t="s">
        <v>201</v>
      </c>
      <c r="F34" s="10" t="s">
        <v>266</v>
      </c>
      <c r="G34" s="11">
        <v>100</v>
      </c>
      <c r="H34" s="12" t="s">
        <v>632</v>
      </c>
      <c r="I34" s="12" t="s">
        <v>632</v>
      </c>
      <c r="J34" s="13" t="s">
        <v>570</v>
      </c>
      <c r="K34" s="4">
        <v>2238150</v>
      </c>
      <c r="L34" s="11" t="s">
        <v>20</v>
      </c>
      <c r="M34" s="11" t="s">
        <v>21</v>
      </c>
      <c r="N34" s="22"/>
      <c r="O34" s="14" t="s">
        <v>19</v>
      </c>
      <c r="P34" s="14" t="str">
        <f t="shared" si="0"/>
        <v>YES</v>
      </c>
    </row>
    <row r="35" spans="1:16" s="14" customFormat="1" ht="18" customHeight="1">
      <c r="A35" s="7">
        <v>33</v>
      </c>
      <c r="B35" s="8" t="s">
        <v>16</v>
      </c>
      <c r="C35" s="8" t="s">
        <v>205</v>
      </c>
      <c r="D35" s="9" t="s">
        <v>219</v>
      </c>
      <c r="E35" s="9" t="s">
        <v>201</v>
      </c>
      <c r="F35" s="10" t="s">
        <v>267</v>
      </c>
      <c r="G35" s="11">
        <v>100</v>
      </c>
      <c r="H35" s="12" t="s">
        <v>630</v>
      </c>
      <c r="I35" s="12" t="s">
        <v>651</v>
      </c>
      <c r="J35" s="13" t="s">
        <v>570</v>
      </c>
      <c r="K35" s="4">
        <v>1798475</v>
      </c>
      <c r="L35" s="11" t="s">
        <v>17</v>
      </c>
      <c r="M35" s="11" t="s">
        <v>18</v>
      </c>
      <c r="N35" s="22"/>
      <c r="O35" s="14" t="s">
        <v>16</v>
      </c>
      <c r="P35" s="14" t="str">
        <f t="shared" si="0"/>
        <v>YES</v>
      </c>
    </row>
    <row r="36" spans="1:16" s="14" customFormat="1" ht="18" customHeight="1">
      <c r="A36" s="7">
        <v>34</v>
      </c>
      <c r="B36" s="8" t="s">
        <v>127</v>
      </c>
      <c r="C36" s="8" t="s">
        <v>206</v>
      </c>
      <c r="D36" s="9" t="s">
        <v>216</v>
      </c>
      <c r="E36" s="9" t="s">
        <v>202</v>
      </c>
      <c r="F36" s="10" t="s">
        <v>268</v>
      </c>
      <c r="G36" s="11">
        <v>60</v>
      </c>
      <c r="H36" s="12" t="s">
        <v>641</v>
      </c>
      <c r="I36" s="12" t="s">
        <v>659</v>
      </c>
      <c r="J36" s="13" t="s">
        <v>570</v>
      </c>
      <c r="K36" s="4">
        <v>4198950</v>
      </c>
      <c r="L36" s="11" t="s">
        <v>128</v>
      </c>
      <c r="M36" s="11" t="s">
        <v>129</v>
      </c>
      <c r="N36" s="22"/>
      <c r="O36" s="14" t="s">
        <v>127</v>
      </c>
      <c r="P36" s="14" t="str">
        <f t="shared" si="0"/>
        <v>YES</v>
      </c>
    </row>
    <row r="37" spans="1:16" s="14" customFormat="1" ht="18" customHeight="1">
      <c r="A37" s="7">
        <v>35</v>
      </c>
      <c r="B37" s="8" t="s">
        <v>124</v>
      </c>
      <c r="C37" s="8" t="s">
        <v>206</v>
      </c>
      <c r="D37" s="9" t="s">
        <v>216</v>
      </c>
      <c r="E37" s="9" t="s">
        <v>202</v>
      </c>
      <c r="F37" s="10" t="s">
        <v>269</v>
      </c>
      <c r="G37" s="11">
        <v>60</v>
      </c>
      <c r="H37" s="12" t="s">
        <v>627</v>
      </c>
      <c r="I37" s="12" t="s">
        <v>659</v>
      </c>
      <c r="J37" s="13" t="s">
        <v>570</v>
      </c>
      <c r="K37" s="4">
        <v>3969975</v>
      </c>
      <c r="L37" s="11" t="s">
        <v>125</v>
      </c>
      <c r="M37" s="11" t="s">
        <v>126</v>
      </c>
      <c r="N37" s="22"/>
      <c r="O37" s="14" t="s">
        <v>124</v>
      </c>
      <c r="P37" s="14" t="str">
        <f t="shared" si="0"/>
        <v>YES</v>
      </c>
    </row>
    <row r="38" spans="1:16" s="14" customFormat="1" ht="18" customHeight="1">
      <c r="A38" s="7">
        <v>36</v>
      </c>
      <c r="B38" s="8" t="s">
        <v>121</v>
      </c>
      <c r="C38" s="8" t="s">
        <v>206</v>
      </c>
      <c r="D38" s="9" t="s">
        <v>216</v>
      </c>
      <c r="E38" s="9" t="s">
        <v>202</v>
      </c>
      <c r="F38" s="10" t="s">
        <v>270</v>
      </c>
      <c r="G38" s="11">
        <v>60</v>
      </c>
      <c r="H38" s="12" t="s">
        <v>641</v>
      </c>
      <c r="I38" s="12" t="s">
        <v>653</v>
      </c>
      <c r="J38" s="13" t="s">
        <v>570</v>
      </c>
      <c r="K38" s="4">
        <v>4554775</v>
      </c>
      <c r="L38" s="11" t="s">
        <v>122</v>
      </c>
      <c r="M38" s="11" t="s">
        <v>123</v>
      </c>
      <c r="N38" s="22"/>
      <c r="O38" s="14" t="s">
        <v>121</v>
      </c>
      <c r="P38" s="14" t="str">
        <f t="shared" si="0"/>
        <v>YES</v>
      </c>
    </row>
    <row r="39" spans="1:16" s="14" customFormat="1" ht="18" customHeight="1">
      <c r="A39" s="7">
        <v>37</v>
      </c>
      <c r="B39" s="8" t="s">
        <v>118</v>
      </c>
      <c r="C39" s="8" t="s">
        <v>206</v>
      </c>
      <c r="D39" s="9" t="s">
        <v>216</v>
      </c>
      <c r="E39" s="9" t="s">
        <v>202</v>
      </c>
      <c r="F39" s="10" t="s">
        <v>271</v>
      </c>
      <c r="G39" s="11">
        <v>60</v>
      </c>
      <c r="H39" s="12" t="s">
        <v>641</v>
      </c>
      <c r="I39" s="12" t="s">
        <v>653</v>
      </c>
      <c r="J39" s="13" t="s">
        <v>570</v>
      </c>
      <c r="K39" s="4">
        <v>4114025</v>
      </c>
      <c r="L39" s="11" t="s">
        <v>119</v>
      </c>
      <c r="M39" s="11" t="s">
        <v>120</v>
      </c>
      <c r="N39" s="22"/>
      <c r="O39" s="14" t="s">
        <v>118</v>
      </c>
      <c r="P39" s="14" t="str">
        <f t="shared" si="0"/>
        <v>YES</v>
      </c>
    </row>
    <row r="40" spans="1:16" s="14" customFormat="1" ht="18" customHeight="1">
      <c r="A40" s="7">
        <v>38</v>
      </c>
      <c r="B40" s="8" t="s">
        <v>115</v>
      </c>
      <c r="C40" s="8" t="s">
        <v>206</v>
      </c>
      <c r="D40" s="9" t="s">
        <v>216</v>
      </c>
      <c r="E40" s="9" t="s">
        <v>202</v>
      </c>
      <c r="F40" s="10" t="s">
        <v>272</v>
      </c>
      <c r="G40" s="11">
        <v>80</v>
      </c>
      <c r="H40" s="12" t="s">
        <v>641</v>
      </c>
      <c r="I40" s="12" t="s">
        <v>660</v>
      </c>
      <c r="J40" s="13" t="s">
        <v>570</v>
      </c>
      <c r="K40" s="4">
        <v>4114025</v>
      </c>
      <c r="L40" s="11" t="s">
        <v>116</v>
      </c>
      <c r="M40" s="11" t="s">
        <v>117</v>
      </c>
      <c r="N40" s="22"/>
      <c r="O40" s="14" t="s">
        <v>115</v>
      </c>
      <c r="P40" s="14" t="str">
        <f t="shared" si="0"/>
        <v>YES</v>
      </c>
    </row>
    <row r="41" spans="1:16" s="14" customFormat="1" ht="18" customHeight="1">
      <c r="A41" s="7">
        <v>39</v>
      </c>
      <c r="B41" s="8" t="s">
        <v>112</v>
      </c>
      <c r="C41" s="8" t="s">
        <v>206</v>
      </c>
      <c r="D41" s="9" t="s">
        <v>216</v>
      </c>
      <c r="E41" s="9" t="s">
        <v>202</v>
      </c>
      <c r="F41" s="10" t="s">
        <v>273</v>
      </c>
      <c r="G41" s="11">
        <v>60</v>
      </c>
      <c r="H41" s="12" t="s">
        <v>641</v>
      </c>
      <c r="I41" s="12" t="s">
        <v>660</v>
      </c>
      <c r="J41" s="13" t="s">
        <v>570</v>
      </c>
      <c r="K41" s="4">
        <v>4198950</v>
      </c>
      <c r="L41" s="11" t="s">
        <v>113</v>
      </c>
      <c r="M41" s="11" t="s">
        <v>114</v>
      </c>
      <c r="N41" s="22"/>
      <c r="O41" s="14" t="s">
        <v>112</v>
      </c>
      <c r="P41" s="14" t="str">
        <f t="shared" si="0"/>
        <v>YES</v>
      </c>
    </row>
    <row r="42" spans="1:16" s="14" customFormat="1" ht="18" customHeight="1">
      <c r="A42" s="7">
        <v>40</v>
      </c>
      <c r="B42" s="8" t="s">
        <v>109</v>
      </c>
      <c r="C42" s="8" t="s">
        <v>206</v>
      </c>
      <c r="D42" s="9" t="s">
        <v>216</v>
      </c>
      <c r="E42" s="9" t="s">
        <v>202</v>
      </c>
      <c r="F42" s="10" t="s">
        <v>274</v>
      </c>
      <c r="G42" s="11">
        <v>40</v>
      </c>
      <c r="H42" s="12" t="s">
        <v>641</v>
      </c>
      <c r="I42" s="12" t="s">
        <v>656</v>
      </c>
      <c r="J42" s="13" t="s">
        <v>570</v>
      </c>
      <c r="K42" s="4">
        <v>6409150</v>
      </c>
      <c r="L42" s="11" t="s">
        <v>110</v>
      </c>
      <c r="M42" s="11" t="s">
        <v>111</v>
      </c>
      <c r="N42" s="22"/>
      <c r="O42" s="14" t="s">
        <v>109</v>
      </c>
      <c r="P42" s="14" t="str">
        <f t="shared" si="0"/>
        <v>YES</v>
      </c>
    </row>
    <row r="43" spans="1:16" s="14" customFormat="1" ht="18" customHeight="1">
      <c r="A43" s="7">
        <v>41</v>
      </c>
      <c r="B43" s="8" t="s">
        <v>106</v>
      </c>
      <c r="C43" s="8" t="s">
        <v>210</v>
      </c>
      <c r="D43" s="9" t="s">
        <v>216</v>
      </c>
      <c r="E43" s="9" t="s">
        <v>202</v>
      </c>
      <c r="F43" s="10" t="s">
        <v>275</v>
      </c>
      <c r="G43" s="11">
        <v>80</v>
      </c>
      <c r="H43" s="12" t="s">
        <v>642</v>
      </c>
      <c r="I43" s="12" t="s">
        <v>643</v>
      </c>
      <c r="J43" s="13" t="s">
        <v>570</v>
      </c>
      <c r="K43" s="4">
        <v>3285200</v>
      </c>
      <c r="L43" s="11" t="s">
        <v>107</v>
      </c>
      <c r="M43" s="11" t="s">
        <v>108</v>
      </c>
      <c r="N43" s="22"/>
      <c r="O43" s="14" t="s">
        <v>106</v>
      </c>
      <c r="P43" s="14" t="str">
        <f t="shared" si="0"/>
        <v>YES</v>
      </c>
    </row>
    <row r="44" spans="1:16" s="14" customFormat="1" ht="18" customHeight="1">
      <c r="A44" s="7">
        <v>42</v>
      </c>
      <c r="B44" s="8" t="s">
        <v>103</v>
      </c>
      <c r="C44" s="8" t="s">
        <v>206</v>
      </c>
      <c r="D44" s="9" t="s">
        <v>216</v>
      </c>
      <c r="E44" s="9" t="s">
        <v>202</v>
      </c>
      <c r="F44" s="10" t="s">
        <v>276</v>
      </c>
      <c r="G44" s="11">
        <v>90</v>
      </c>
      <c r="H44" s="12" t="s">
        <v>633</v>
      </c>
      <c r="I44" s="12" t="s">
        <v>661</v>
      </c>
      <c r="J44" s="13" t="s">
        <v>570</v>
      </c>
      <c r="K44" s="4">
        <v>6731650</v>
      </c>
      <c r="L44" s="11" t="s">
        <v>104</v>
      </c>
      <c r="M44" s="11" t="s">
        <v>105</v>
      </c>
      <c r="N44" s="22"/>
      <c r="O44" s="14" t="s">
        <v>103</v>
      </c>
      <c r="P44" s="14" t="str">
        <f t="shared" si="0"/>
        <v>YES</v>
      </c>
    </row>
    <row r="45" spans="1:16" s="14" customFormat="1" ht="18" customHeight="1">
      <c r="A45" s="7">
        <v>43</v>
      </c>
      <c r="B45" s="8" t="s">
        <v>100</v>
      </c>
      <c r="C45" s="8" t="s">
        <v>206</v>
      </c>
      <c r="D45" s="9" t="s">
        <v>216</v>
      </c>
      <c r="E45" s="9" t="s">
        <v>202</v>
      </c>
      <c r="F45" s="10" t="s">
        <v>277</v>
      </c>
      <c r="G45" s="11">
        <v>80</v>
      </c>
      <c r="H45" s="12" t="s">
        <v>627</v>
      </c>
      <c r="I45" s="12" t="s">
        <v>637</v>
      </c>
      <c r="J45" s="13" t="s">
        <v>570</v>
      </c>
      <c r="K45" s="4">
        <v>5469600</v>
      </c>
      <c r="L45" s="11" t="s">
        <v>101</v>
      </c>
      <c r="M45" s="11" t="s">
        <v>102</v>
      </c>
      <c r="N45" s="22"/>
      <c r="O45" s="14" t="s">
        <v>100</v>
      </c>
      <c r="P45" s="14" t="str">
        <f t="shared" si="0"/>
        <v>YES</v>
      </c>
    </row>
    <row r="46" spans="1:16" s="14" customFormat="1" ht="18" customHeight="1">
      <c r="A46" s="7">
        <v>44</v>
      </c>
      <c r="B46" s="8" t="s">
        <v>97</v>
      </c>
      <c r="C46" s="8" t="s">
        <v>206</v>
      </c>
      <c r="D46" s="9" t="s">
        <v>216</v>
      </c>
      <c r="E46" s="9" t="s">
        <v>202</v>
      </c>
      <c r="F46" s="10" t="s">
        <v>278</v>
      </c>
      <c r="G46" s="11">
        <v>80</v>
      </c>
      <c r="H46" s="12" t="s">
        <v>627</v>
      </c>
      <c r="I46" s="12" t="s">
        <v>637</v>
      </c>
      <c r="J46" s="13" t="s">
        <v>570</v>
      </c>
      <c r="K46" s="4">
        <v>5372850</v>
      </c>
      <c r="L46" s="11" t="s">
        <v>98</v>
      </c>
      <c r="M46" s="11" t="s">
        <v>99</v>
      </c>
      <c r="N46" s="22"/>
      <c r="O46" s="14" t="s">
        <v>97</v>
      </c>
      <c r="P46" s="14" t="str">
        <f t="shared" si="0"/>
        <v>YES</v>
      </c>
    </row>
    <row r="47" spans="1:16" s="14" customFormat="1" ht="18" customHeight="1">
      <c r="A47" s="7">
        <v>45</v>
      </c>
      <c r="B47" s="8" t="s">
        <v>13</v>
      </c>
      <c r="C47" s="8" t="s">
        <v>205</v>
      </c>
      <c r="D47" s="9" t="s">
        <v>216</v>
      </c>
      <c r="E47" s="9" t="s">
        <v>201</v>
      </c>
      <c r="F47" s="10" t="s">
        <v>279</v>
      </c>
      <c r="G47" s="11">
        <v>10</v>
      </c>
      <c r="H47" s="12" t="s">
        <v>643</v>
      </c>
      <c r="I47" s="12" t="s">
        <v>668</v>
      </c>
      <c r="J47" s="13" t="s">
        <v>570</v>
      </c>
      <c r="K47" s="4">
        <v>6353250</v>
      </c>
      <c r="L47" s="11" t="s">
        <v>14</v>
      </c>
      <c r="M47" s="11" t="s">
        <v>15</v>
      </c>
      <c r="N47" s="22"/>
      <c r="O47" s="14" t="s">
        <v>13</v>
      </c>
      <c r="P47" s="14" t="str">
        <f t="shared" si="0"/>
        <v>YES</v>
      </c>
    </row>
    <row r="48" spans="1:16" s="14" customFormat="1" ht="18" customHeight="1">
      <c r="A48" s="7">
        <v>46</v>
      </c>
      <c r="B48" s="8" t="s">
        <v>10</v>
      </c>
      <c r="C48" s="8" t="s">
        <v>205</v>
      </c>
      <c r="D48" s="9" t="s">
        <v>216</v>
      </c>
      <c r="E48" s="9" t="s">
        <v>201</v>
      </c>
      <c r="F48" s="10" t="s">
        <v>280</v>
      </c>
      <c r="G48" s="11">
        <v>10</v>
      </c>
      <c r="H48" s="12" t="s">
        <v>643</v>
      </c>
      <c r="I48" s="12" t="s">
        <v>668</v>
      </c>
      <c r="J48" s="13" t="s">
        <v>570</v>
      </c>
      <c r="K48" s="4">
        <v>13765375</v>
      </c>
      <c r="L48" s="11" t="s">
        <v>11</v>
      </c>
      <c r="M48" s="11" t="s">
        <v>12</v>
      </c>
      <c r="N48" s="22"/>
      <c r="O48" s="14" t="s">
        <v>10</v>
      </c>
      <c r="P48" s="14" t="str">
        <f t="shared" si="0"/>
        <v>YES</v>
      </c>
    </row>
    <row r="49" spans="1:16" s="14" customFormat="1" ht="18" customHeight="1">
      <c r="A49" s="7">
        <v>47</v>
      </c>
      <c r="B49" s="8" t="s">
        <v>7</v>
      </c>
      <c r="C49" s="8" t="s">
        <v>205</v>
      </c>
      <c r="D49" s="9" t="s">
        <v>216</v>
      </c>
      <c r="E49" s="9" t="s">
        <v>201</v>
      </c>
      <c r="F49" s="10" t="s">
        <v>281</v>
      </c>
      <c r="G49" s="11">
        <v>10</v>
      </c>
      <c r="H49" s="12" t="s">
        <v>643</v>
      </c>
      <c r="I49" s="12" t="s">
        <v>668</v>
      </c>
      <c r="J49" s="13" t="s">
        <v>570</v>
      </c>
      <c r="K49" s="4">
        <v>7764725</v>
      </c>
      <c r="L49" s="11" t="s">
        <v>8</v>
      </c>
      <c r="M49" s="11" t="s">
        <v>9</v>
      </c>
      <c r="N49" s="22"/>
      <c r="O49" s="14" t="s">
        <v>7</v>
      </c>
      <c r="P49" s="14" t="str">
        <f t="shared" si="0"/>
        <v>YES</v>
      </c>
    </row>
    <row r="50" spans="1:16" s="14" customFormat="1" ht="18" customHeight="1">
      <c r="A50" s="7">
        <v>48</v>
      </c>
      <c r="B50" s="8" t="s">
        <v>325</v>
      </c>
      <c r="C50" s="8" t="s">
        <v>296</v>
      </c>
      <c r="D50" s="9" t="s">
        <v>221</v>
      </c>
      <c r="E50" s="9" t="s">
        <v>201</v>
      </c>
      <c r="F50" s="10" t="s">
        <v>419</v>
      </c>
      <c r="G50" s="11">
        <v>10</v>
      </c>
      <c r="H50" s="12" t="s">
        <v>644</v>
      </c>
      <c r="I50" s="12" t="s">
        <v>644</v>
      </c>
      <c r="J50" s="13" t="s">
        <v>572</v>
      </c>
      <c r="K50" s="4">
        <v>1075000</v>
      </c>
      <c r="L50" s="11" t="s">
        <v>363</v>
      </c>
      <c r="M50" s="11" t="s">
        <v>460</v>
      </c>
      <c r="N50" s="22"/>
      <c r="O50" s="14" t="s">
        <v>325</v>
      </c>
      <c r="P50" s="14" t="str">
        <f t="shared" si="0"/>
        <v>YES</v>
      </c>
    </row>
    <row r="51" spans="1:16" s="14" customFormat="1" ht="18" customHeight="1">
      <c r="A51" s="7">
        <v>49</v>
      </c>
      <c r="B51" s="8" t="s">
        <v>4</v>
      </c>
      <c r="C51" s="8" t="s">
        <v>205</v>
      </c>
      <c r="D51" s="9" t="s">
        <v>216</v>
      </c>
      <c r="E51" s="9" t="s">
        <v>201</v>
      </c>
      <c r="F51" s="10" t="s">
        <v>283</v>
      </c>
      <c r="G51" s="11">
        <v>100</v>
      </c>
      <c r="H51" s="12" t="s">
        <v>639</v>
      </c>
      <c r="I51" s="12" t="s">
        <v>675</v>
      </c>
      <c r="J51" s="13" t="s">
        <v>571</v>
      </c>
      <c r="K51" s="4">
        <v>4006525</v>
      </c>
      <c r="L51" s="11" t="s">
        <v>5</v>
      </c>
      <c r="M51" s="11" t="s">
        <v>6</v>
      </c>
      <c r="N51" s="22"/>
      <c r="O51" s="14" t="s">
        <v>4</v>
      </c>
      <c r="P51" s="14" t="str">
        <f t="shared" si="0"/>
        <v>YES</v>
      </c>
    </row>
    <row r="52" spans="1:16" s="14" customFormat="1" ht="18" customHeight="1">
      <c r="A52" s="7">
        <v>50</v>
      </c>
      <c r="B52" s="8" t="s">
        <v>154</v>
      </c>
      <c r="C52" s="8" t="s">
        <v>205</v>
      </c>
      <c r="D52" s="9" t="s">
        <v>219</v>
      </c>
      <c r="E52" s="9" t="s">
        <v>201</v>
      </c>
      <c r="F52" s="10" t="s">
        <v>284</v>
      </c>
      <c r="G52" s="11">
        <v>0</v>
      </c>
      <c r="H52" s="12" t="s">
        <v>639</v>
      </c>
      <c r="I52" s="12" t="s">
        <v>639</v>
      </c>
      <c r="J52" s="13" t="s">
        <v>571</v>
      </c>
      <c r="K52" s="4">
        <v>875050</v>
      </c>
      <c r="L52" s="11" t="s">
        <v>155</v>
      </c>
      <c r="M52" s="11" t="s">
        <v>156</v>
      </c>
      <c r="N52" s="22"/>
      <c r="O52" s="14" t="s">
        <v>154</v>
      </c>
      <c r="P52" s="14" t="str">
        <f t="shared" si="0"/>
        <v>YES</v>
      </c>
    </row>
    <row r="53" spans="1:16" s="14" customFormat="1" ht="18" customHeight="1">
      <c r="A53" s="7">
        <v>51</v>
      </c>
      <c r="B53" s="8" t="s">
        <v>151</v>
      </c>
      <c r="C53" s="8" t="s">
        <v>205</v>
      </c>
      <c r="D53" s="9" t="s">
        <v>220</v>
      </c>
      <c r="E53" s="9" t="s">
        <v>201</v>
      </c>
      <c r="F53" s="10" t="s">
        <v>285</v>
      </c>
      <c r="G53" s="11">
        <v>0</v>
      </c>
      <c r="H53" s="12" t="s">
        <v>645</v>
      </c>
      <c r="I53" s="12" t="s">
        <v>667</v>
      </c>
      <c r="J53" s="13" t="s">
        <v>572</v>
      </c>
      <c r="K53" s="4">
        <v>12887100</v>
      </c>
      <c r="L53" s="11" t="s">
        <v>152</v>
      </c>
      <c r="M53" s="11" t="s">
        <v>153</v>
      </c>
      <c r="N53" s="22"/>
      <c r="O53" s="14" t="s">
        <v>151</v>
      </c>
      <c r="P53" s="14" t="str">
        <f t="shared" si="0"/>
        <v>YES</v>
      </c>
    </row>
    <row r="54" spans="1:16" s="14" customFormat="1" ht="18" customHeight="1">
      <c r="A54" s="7">
        <v>52</v>
      </c>
      <c r="B54" s="8" t="s">
        <v>157</v>
      </c>
      <c r="C54" s="8" t="s">
        <v>205</v>
      </c>
      <c r="D54" s="9" t="s">
        <v>216</v>
      </c>
      <c r="E54" s="9" t="s">
        <v>202</v>
      </c>
      <c r="F54" s="10" t="s">
        <v>286</v>
      </c>
      <c r="G54" s="11">
        <v>10</v>
      </c>
      <c r="H54" s="12" t="s">
        <v>643</v>
      </c>
      <c r="I54" s="12" t="s">
        <v>668</v>
      </c>
      <c r="J54" s="13" t="s">
        <v>570</v>
      </c>
      <c r="K54" s="4">
        <v>5646975</v>
      </c>
      <c r="L54" s="11" t="s">
        <v>158</v>
      </c>
      <c r="M54" s="11" t="s">
        <v>159</v>
      </c>
      <c r="N54" s="22"/>
      <c r="O54" s="14" t="s">
        <v>157</v>
      </c>
      <c r="P54" s="14" t="str">
        <f t="shared" si="0"/>
        <v>YES</v>
      </c>
    </row>
    <row r="55" spans="1:16" s="14" customFormat="1" ht="18" customHeight="1">
      <c r="A55" s="7">
        <v>53</v>
      </c>
      <c r="B55" s="8" t="s">
        <v>160</v>
      </c>
      <c r="C55" s="8" t="s">
        <v>205</v>
      </c>
      <c r="D55" s="9" t="s">
        <v>220</v>
      </c>
      <c r="E55" s="9" t="s">
        <v>201</v>
      </c>
      <c r="F55" s="10" t="s">
        <v>287</v>
      </c>
      <c r="G55" s="11">
        <v>0</v>
      </c>
      <c r="H55" s="12" t="s">
        <v>645</v>
      </c>
      <c r="I55" s="12" t="s">
        <v>665</v>
      </c>
      <c r="J55" s="13" t="s">
        <v>570</v>
      </c>
      <c r="K55" s="4">
        <v>8964425</v>
      </c>
      <c r="L55" s="11" t="s">
        <v>161</v>
      </c>
      <c r="M55" s="11" t="s">
        <v>162</v>
      </c>
      <c r="N55" s="22"/>
      <c r="O55" s="14" t="s">
        <v>160</v>
      </c>
      <c r="P55" s="14" t="str">
        <f t="shared" si="0"/>
        <v>YES</v>
      </c>
    </row>
    <row r="56" spans="1:16" s="14" customFormat="1" ht="18" customHeight="1">
      <c r="A56" s="7">
        <v>54</v>
      </c>
      <c r="B56" s="8" t="s">
        <v>163</v>
      </c>
      <c r="C56" s="8" t="s">
        <v>211</v>
      </c>
      <c r="D56" s="9" t="s">
        <v>216</v>
      </c>
      <c r="E56" s="9" t="s">
        <v>201</v>
      </c>
      <c r="F56" s="10" t="s">
        <v>288</v>
      </c>
      <c r="G56" s="11">
        <v>90</v>
      </c>
      <c r="H56" s="12" t="s">
        <v>646</v>
      </c>
      <c r="I56" s="12" t="s">
        <v>637</v>
      </c>
      <c r="J56" s="13" t="s">
        <v>570</v>
      </c>
      <c r="K56" s="4">
        <v>4897700</v>
      </c>
      <c r="L56" s="11" t="s">
        <v>164</v>
      </c>
      <c r="M56" s="11" t="s">
        <v>165</v>
      </c>
      <c r="N56" s="22"/>
      <c r="O56" s="14" t="s">
        <v>163</v>
      </c>
      <c r="P56" s="14" t="str">
        <f t="shared" si="0"/>
        <v>YES</v>
      </c>
    </row>
    <row r="57" spans="1:16" s="14" customFormat="1" ht="18" customHeight="1">
      <c r="A57" s="7">
        <v>55</v>
      </c>
      <c r="B57" s="8" t="s">
        <v>166</v>
      </c>
      <c r="C57" s="8" t="s">
        <v>205</v>
      </c>
      <c r="D57" s="9" t="s">
        <v>216</v>
      </c>
      <c r="E57" s="9" t="s">
        <v>201</v>
      </c>
      <c r="F57" s="10" t="s">
        <v>289</v>
      </c>
      <c r="G57" s="11">
        <v>100</v>
      </c>
      <c r="H57" s="12" t="s">
        <v>642</v>
      </c>
      <c r="I57" s="12" t="s">
        <v>642</v>
      </c>
      <c r="J57" s="13" t="s">
        <v>570</v>
      </c>
      <c r="K57" s="4">
        <v>2008100</v>
      </c>
      <c r="L57" s="11" t="s">
        <v>167</v>
      </c>
      <c r="M57" s="11" t="s">
        <v>168</v>
      </c>
      <c r="N57" s="22"/>
      <c r="O57" s="14" t="s">
        <v>166</v>
      </c>
      <c r="P57" s="14" t="str">
        <f t="shared" si="0"/>
        <v>YES</v>
      </c>
    </row>
    <row r="58" spans="1:16" s="14" customFormat="1" ht="18" customHeight="1">
      <c r="A58" s="7">
        <v>56</v>
      </c>
      <c r="B58" s="8" t="s">
        <v>169</v>
      </c>
      <c r="C58" s="8" t="s">
        <v>206</v>
      </c>
      <c r="D58" s="9" t="s">
        <v>216</v>
      </c>
      <c r="E58" s="9" t="s">
        <v>201</v>
      </c>
      <c r="F58" s="10" t="s">
        <v>290</v>
      </c>
      <c r="G58" s="11">
        <v>60</v>
      </c>
      <c r="H58" s="12" t="s">
        <v>647</v>
      </c>
      <c r="I58" s="12" t="s">
        <v>656</v>
      </c>
      <c r="J58" s="13" t="s">
        <v>570</v>
      </c>
      <c r="K58" s="4">
        <v>4200025</v>
      </c>
      <c r="L58" s="11" t="s">
        <v>170</v>
      </c>
      <c r="M58" s="11" t="s">
        <v>171</v>
      </c>
      <c r="N58" s="22"/>
      <c r="O58" s="14" t="s">
        <v>169</v>
      </c>
      <c r="P58" s="14" t="str">
        <f t="shared" si="0"/>
        <v>YES</v>
      </c>
    </row>
    <row r="59" spans="1:16" s="14" customFormat="1" ht="18" customHeight="1">
      <c r="A59" s="7">
        <v>57</v>
      </c>
      <c r="B59" s="8" t="s">
        <v>172</v>
      </c>
      <c r="C59" s="8" t="s">
        <v>213</v>
      </c>
      <c r="D59" s="9" t="s">
        <v>219</v>
      </c>
      <c r="E59" s="9" t="s">
        <v>201</v>
      </c>
      <c r="F59" s="10" t="s">
        <v>433</v>
      </c>
      <c r="G59" s="11">
        <v>100</v>
      </c>
      <c r="H59" s="12" t="s">
        <v>648</v>
      </c>
      <c r="I59" s="12" t="s">
        <v>648</v>
      </c>
      <c r="J59" s="13" t="s">
        <v>570</v>
      </c>
      <c r="K59" s="4">
        <v>4763325</v>
      </c>
      <c r="L59" s="11" t="s">
        <v>173</v>
      </c>
      <c r="M59" s="11" t="s">
        <v>174</v>
      </c>
      <c r="N59" s="22"/>
      <c r="O59" s="14" t="s">
        <v>172</v>
      </c>
      <c r="P59" s="14" t="str">
        <f t="shared" si="0"/>
        <v>YES</v>
      </c>
    </row>
    <row r="60" spans="1:16" s="14" customFormat="1" ht="18" customHeight="1">
      <c r="A60" s="7">
        <v>58</v>
      </c>
      <c r="B60" s="8" t="s">
        <v>175</v>
      </c>
      <c r="C60" s="8" t="s">
        <v>213</v>
      </c>
      <c r="D60" s="9" t="s">
        <v>219</v>
      </c>
      <c r="E60" s="9" t="s">
        <v>201</v>
      </c>
      <c r="F60" s="10" t="s">
        <v>434</v>
      </c>
      <c r="G60" s="11">
        <v>100</v>
      </c>
      <c r="H60" s="12" t="s">
        <v>649</v>
      </c>
      <c r="I60" s="12" t="s">
        <v>649</v>
      </c>
      <c r="J60" s="13" t="s">
        <v>570</v>
      </c>
      <c r="K60" s="4">
        <v>4763325</v>
      </c>
      <c r="L60" s="11" t="s">
        <v>176</v>
      </c>
      <c r="M60" s="11" t="s">
        <v>177</v>
      </c>
      <c r="N60" s="22"/>
      <c r="O60" s="14" t="s">
        <v>175</v>
      </c>
      <c r="P60" s="14" t="str">
        <f t="shared" si="0"/>
        <v>YES</v>
      </c>
    </row>
    <row r="61" spans="1:16" s="14" customFormat="1" ht="18" customHeight="1">
      <c r="A61" s="7">
        <v>59</v>
      </c>
      <c r="B61" s="8" t="s">
        <v>178</v>
      </c>
      <c r="C61" s="8" t="s">
        <v>213</v>
      </c>
      <c r="D61" s="9" t="s">
        <v>219</v>
      </c>
      <c r="E61" s="9" t="s">
        <v>201</v>
      </c>
      <c r="F61" s="10" t="s">
        <v>435</v>
      </c>
      <c r="G61" s="11">
        <v>100</v>
      </c>
      <c r="H61" s="12" t="s">
        <v>650</v>
      </c>
      <c r="I61" s="12" t="s">
        <v>650</v>
      </c>
      <c r="J61" s="13" t="s">
        <v>570</v>
      </c>
      <c r="K61" s="4">
        <v>4763325</v>
      </c>
      <c r="L61" s="11" t="s">
        <v>179</v>
      </c>
      <c r="M61" s="11" t="s">
        <v>180</v>
      </c>
      <c r="N61" s="22"/>
      <c r="O61" s="14" t="s">
        <v>178</v>
      </c>
      <c r="P61" s="14" t="str">
        <f t="shared" si="0"/>
        <v>YES</v>
      </c>
    </row>
    <row r="62" spans="1:16" s="14" customFormat="1" ht="18" customHeight="1">
      <c r="A62" s="7">
        <v>60</v>
      </c>
      <c r="B62" s="8" t="s">
        <v>181</v>
      </c>
      <c r="C62" s="8" t="s">
        <v>213</v>
      </c>
      <c r="D62" s="9" t="s">
        <v>219</v>
      </c>
      <c r="E62" s="9" t="s">
        <v>201</v>
      </c>
      <c r="F62" s="10" t="s">
        <v>436</v>
      </c>
      <c r="G62" s="11">
        <v>100</v>
      </c>
      <c r="H62" s="12" t="s">
        <v>643</v>
      </c>
      <c r="I62" s="12" t="s">
        <v>643</v>
      </c>
      <c r="J62" s="13" t="s">
        <v>570</v>
      </c>
      <c r="K62" s="4">
        <v>4763325</v>
      </c>
      <c r="L62" s="11" t="s">
        <v>182</v>
      </c>
      <c r="M62" s="11" t="s">
        <v>183</v>
      </c>
      <c r="N62" s="22"/>
      <c r="O62" s="14" t="s">
        <v>181</v>
      </c>
      <c r="P62" s="14" t="str">
        <f t="shared" si="0"/>
        <v>YES</v>
      </c>
    </row>
    <row r="63" spans="1:16" s="14" customFormat="1" ht="18" customHeight="1">
      <c r="A63" s="7">
        <v>61</v>
      </c>
      <c r="B63" s="8" t="s">
        <v>184</v>
      </c>
      <c r="C63" s="8" t="s">
        <v>205</v>
      </c>
      <c r="D63" s="9" t="s">
        <v>218</v>
      </c>
      <c r="E63" s="9" t="s">
        <v>201</v>
      </c>
      <c r="F63" s="10" t="s">
        <v>291</v>
      </c>
      <c r="G63" s="11">
        <v>100</v>
      </c>
      <c r="H63" s="12" t="s">
        <v>651</v>
      </c>
      <c r="I63" s="12" t="s">
        <v>647</v>
      </c>
      <c r="J63" s="13" t="s">
        <v>572</v>
      </c>
      <c r="K63" s="4">
        <v>4506400</v>
      </c>
      <c r="L63" s="11" t="s">
        <v>185</v>
      </c>
      <c r="M63" s="11" t="s">
        <v>186</v>
      </c>
      <c r="N63" s="22"/>
      <c r="O63" s="14" t="s">
        <v>184</v>
      </c>
      <c r="P63" s="14" t="str">
        <f t="shared" si="0"/>
        <v>YES</v>
      </c>
    </row>
    <row r="64" spans="1:16" s="14" customFormat="1" ht="18" customHeight="1">
      <c r="A64" s="7">
        <v>62</v>
      </c>
      <c r="B64" s="8" t="s">
        <v>187</v>
      </c>
      <c r="C64" s="8" t="s">
        <v>205</v>
      </c>
      <c r="D64" s="9" t="s">
        <v>220</v>
      </c>
      <c r="E64" s="9" t="s">
        <v>201</v>
      </c>
      <c r="F64" s="10" t="s">
        <v>292</v>
      </c>
      <c r="G64" s="11">
        <v>0</v>
      </c>
      <c r="H64" s="12" t="s">
        <v>652</v>
      </c>
      <c r="I64" s="12" t="s">
        <v>676</v>
      </c>
      <c r="J64" s="13" t="s">
        <v>572</v>
      </c>
      <c r="K64" s="4">
        <v>4587025</v>
      </c>
      <c r="L64" s="11" t="s">
        <v>188</v>
      </c>
      <c r="M64" s="11" t="s">
        <v>189</v>
      </c>
      <c r="N64" s="22"/>
      <c r="O64" s="14" t="s">
        <v>187</v>
      </c>
      <c r="P64" s="14" t="str">
        <f t="shared" si="0"/>
        <v>YES</v>
      </c>
    </row>
    <row r="65" spans="1:16" s="14" customFormat="1" ht="18" customHeight="1">
      <c r="A65" s="7">
        <v>63</v>
      </c>
      <c r="B65" s="8" t="s">
        <v>191</v>
      </c>
      <c r="C65" s="8" t="s">
        <v>214</v>
      </c>
      <c r="D65" s="9" t="s">
        <v>216</v>
      </c>
      <c r="E65" s="9" t="s">
        <v>201</v>
      </c>
      <c r="F65" s="10" t="s">
        <v>430</v>
      </c>
      <c r="G65" s="11">
        <v>80</v>
      </c>
      <c r="H65" s="12" t="s">
        <v>649</v>
      </c>
      <c r="I65" s="12" t="s">
        <v>644</v>
      </c>
      <c r="J65" s="13" t="s">
        <v>570</v>
      </c>
      <c r="K65" s="4"/>
      <c r="L65" s="11" t="s">
        <v>194</v>
      </c>
      <c r="M65" s="11" t="s">
        <v>196</v>
      </c>
      <c r="N65" s="22"/>
      <c r="O65" s="14" t="s">
        <v>590</v>
      </c>
      <c r="P65" s="14" t="str">
        <f t="shared" si="0"/>
        <v>YES</v>
      </c>
    </row>
    <row r="66" spans="1:16" s="14" customFormat="1" ht="18" customHeight="1">
      <c r="A66" s="7">
        <v>64</v>
      </c>
      <c r="B66" s="8" t="s">
        <v>192</v>
      </c>
      <c r="C66" s="8" t="s">
        <v>214</v>
      </c>
      <c r="D66" s="9" t="s">
        <v>216</v>
      </c>
      <c r="E66" s="9" t="s">
        <v>201</v>
      </c>
      <c r="F66" s="10" t="s">
        <v>193</v>
      </c>
      <c r="G66" s="11">
        <v>100</v>
      </c>
      <c r="H66" s="12" t="s">
        <v>632</v>
      </c>
      <c r="I66" s="12" t="s">
        <v>638</v>
      </c>
      <c r="J66" s="13" t="s">
        <v>570</v>
      </c>
      <c r="K66" s="4"/>
      <c r="L66" s="11" t="s">
        <v>195</v>
      </c>
      <c r="M66" s="11" t="s">
        <v>197</v>
      </c>
      <c r="N66" s="22"/>
      <c r="O66" s="14" t="s">
        <v>591</v>
      </c>
      <c r="P66" s="14" t="str">
        <f t="shared" si="0"/>
        <v>YES</v>
      </c>
    </row>
    <row r="67" spans="1:16" s="14" customFormat="1" ht="18" customHeight="1">
      <c r="A67" s="7">
        <v>65</v>
      </c>
      <c r="B67" s="8" t="s">
        <v>541</v>
      </c>
      <c r="C67" s="8" t="s">
        <v>214</v>
      </c>
      <c r="D67" s="9" t="s">
        <v>216</v>
      </c>
      <c r="E67" s="9" t="s">
        <v>201</v>
      </c>
      <c r="F67" s="10" t="s">
        <v>431</v>
      </c>
      <c r="G67" s="11">
        <v>0</v>
      </c>
      <c r="H67" s="12" t="s">
        <v>653</v>
      </c>
      <c r="I67" s="12" t="s">
        <v>658</v>
      </c>
      <c r="J67" s="13" t="s">
        <v>570</v>
      </c>
      <c r="K67" s="4"/>
      <c r="L67" s="11" t="s">
        <v>195</v>
      </c>
      <c r="M67" s="11" t="s">
        <v>197</v>
      </c>
      <c r="N67" s="22"/>
      <c r="O67" s="14" t="s">
        <v>592</v>
      </c>
      <c r="P67" s="14" t="str">
        <f t="shared" si="0"/>
        <v>YES</v>
      </c>
    </row>
    <row r="68" spans="1:16" s="14" customFormat="1" ht="18" customHeight="1">
      <c r="A68" s="7">
        <v>66</v>
      </c>
      <c r="B68" s="8" t="s">
        <v>228</v>
      </c>
      <c r="C68" s="8" t="s">
        <v>229</v>
      </c>
      <c r="D68" s="9" t="s">
        <v>217</v>
      </c>
      <c r="E68" s="9" t="s">
        <v>201</v>
      </c>
      <c r="F68" s="10" t="s">
        <v>225</v>
      </c>
      <c r="G68" s="11">
        <v>100</v>
      </c>
      <c r="H68" s="12" t="s">
        <v>654</v>
      </c>
      <c r="I68" s="12" t="s">
        <v>654</v>
      </c>
      <c r="J68" s="13" t="s">
        <v>570</v>
      </c>
      <c r="K68" s="4">
        <v>947954.35</v>
      </c>
      <c r="L68" s="11" t="s">
        <v>230</v>
      </c>
      <c r="M68" s="11" t="s">
        <v>231</v>
      </c>
      <c r="N68" s="22"/>
      <c r="O68" s="14" t="s">
        <v>593</v>
      </c>
      <c r="P68" s="14" t="str">
        <f t="shared" ref="P68:P131" si="1">IF(O68=B68,"YES","XXXXX")</f>
        <v>YES</v>
      </c>
    </row>
    <row r="69" spans="1:16" s="14" customFormat="1" ht="18" customHeight="1">
      <c r="A69" s="7">
        <v>67</v>
      </c>
      <c r="B69" s="8" t="s">
        <v>232</v>
      </c>
      <c r="C69" s="8" t="s">
        <v>233</v>
      </c>
      <c r="D69" s="9" t="s">
        <v>216</v>
      </c>
      <c r="E69" s="9" t="s">
        <v>201</v>
      </c>
      <c r="F69" s="10" t="s">
        <v>226</v>
      </c>
      <c r="G69" s="11">
        <v>100</v>
      </c>
      <c r="H69" s="12" t="s">
        <v>647</v>
      </c>
      <c r="I69" s="12" t="s">
        <v>654</v>
      </c>
      <c r="J69" s="13" t="s">
        <v>570</v>
      </c>
      <c r="K69" s="4">
        <v>3594800</v>
      </c>
      <c r="L69" s="11" t="s">
        <v>234</v>
      </c>
      <c r="M69" s="11" t="s">
        <v>235</v>
      </c>
      <c r="N69" s="22"/>
      <c r="O69" s="14" t="s">
        <v>594</v>
      </c>
      <c r="P69" s="14" t="str">
        <f t="shared" si="1"/>
        <v>YES</v>
      </c>
    </row>
    <row r="70" spans="1:16" s="14" customFormat="1" ht="18" customHeight="1">
      <c r="A70" s="7">
        <v>68</v>
      </c>
      <c r="B70" s="8" t="s">
        <v>236</v>
      </c>
      <c r="C70" s="8" t="s">
        <v>233</v>
      </c>
      <c r="D70" s="9" t="s">
        <v>216</v>
      </c>
      <c r="E70" s="9" t="s">
        <v>201</v>
      </c>
      <c r="F70" s="10" t="s">
        <v>227</v>
      </c>
      <c r="G70" s="11">
        <v>100</v>
      </c>
      <c r="H70" s="12" t="s">
        <v>647</v>
      </c>
      <c r="I70" s="12" t="s">
        <v>654</v>
      </c>
      <c r="J70" s="13" t="s">
        <v>570</v>
      </c>
      <c r="K70" s="4">
        <v>3465800</v>
      </c>
      <c r="L70" s="11" t="s">
        <v>237</v>
      </c>
      <c r="M70" s="11" t="s">
        <v>238</v>
      </c>
      <c r="N70" s="22"/>
      <c r="O70" s="14" t="s">
        <v>595</v>
      </c>
      <c r="P70" s="14" t="str">
        <f t="shared" si="1"/>
        <v>YES</v>
      </c>
    </row>
    <row r="71" spans="1:16" s="14" customFormat="1" ht="18" customHeight="1">
      <c r="A71" s="7">
        <v>69</v>
      </c>
      <c r="B71" s="8" t="s">
        <v>329</v>
      </c>
      <c r="C71" s="8" t="s">
        <v>296</v>
      </c>
      <c r="D71" s="9" t="s">
        <v>221</v>
      </c>
      <c r="E71" s="9" t="s">
        <v>201</v>
      </c>
      <c r="F71" s="10" t="s">
        <v>423</v>
      </c>
      <c r="G71" s="11">
        <v>10</v>
      </c>
      <c r="H71" s="12" t="s">
        <v>644</v>
      </c>
      <c r="I71" s="12" t="s">
        <v>644</v>
      </c>
      <c r="J71" s="13" t="s">
        <v>572</v>
      </c>
      <c r="K71" s="4">
        <v>1075000</v>
      </c>
      <c r="L71" s="11" t="s">
        <v>367</v>
      </c>
      <c r="M71" s="11" t="s">
        <v>464</v>
      </c>
      <c r="N71" s="22"/>
      <c r="O71" s="14" t="s">
        <v>329</v>
      </c>
      <c r="P71" s="14" t="str">
        <f t="shared" si="1"/>
        <v>YES</v>
      </c>
    </row>
    <row r="72" spans="1:16" s="14" customFormat="1" ht="18" customHeight="1">
      <c r="A72" s="7">
        <v>70</v>
      </c>
      <c r="B72" s="8" t="s">
        <v>328</v>
      </c>
      <c r="C72" s="8" t="s">
        <v>296</v>
      </c>
      <c r="D72" s="9" t="s">
        <v>221</v>
      </c>
      <c r="E72" s="9" t="s">
        <v>201</v>
      </c>
      <c r="F72" s="10" t="s">
        <v>422</v>
      </c>
      <c r="G72" s="11">
        <v>10</v>
      </c>
      <c r="H72" s="12" t="s">
        <v>655</v>
      </c>
      <c r="I72" s="12" t="s">
        <v>655</v>
      </c>
      <c r="J72" s="13" t="s">
        <v>572</v>
      </c>
      <c r="K72" s="4">
        <v>1075000</v>
      </c>
      <c r="L72" s="11" t="s">
        <v>366</v>
      </c>
      <c r="M72" s="11" t="s">
        <v>463</v>
      </c>
      <c r="N72" s="22"/>
      <c r="O72" s="14" t="s">
        <v>328</v>
      </c>
      <c r="P72" s="14" t="str">
        <f t="shared" si="1"/>
        <v>YES</v>
      </c>
    </row>
    <row r="73" spans="1:16" s="14" customFormat="1" ht="18" customHeight="1">
      <c r="A73" s="7">
        <v>71</v>
      </c>
      <c r="B73" s="8" t="s">
        <v>307</v>
      </c>
      <c r="C73" s="8" t="s">
        <v>296</v>
      </c>
      <c r="D73" s="9" t="s">
        <v>221</v>
      </c>
      <c r="E73" s="9" t="s">
        <v>201</v>
      </c>
      <c r="F73" s="10" t="s">
        <v>401</v>
      </c>
      <c r="G73" s="11">
        <v>10</v>
      </c>
      <c r="H73" s="12" t="s">
        <v>655</v>
      </c>
      <c r="I73" s="12" t="s">
        <v>655</v>
      </c>
      <c r="J73" s="13" t="s">
        <v>572</v>
      </c>
      <c r="K73" s="4">
        <v>1075000</v>
      </c>
      <c r="L73" s="11" t="s">
        <v>345</v>
      </c>
      <c r="M73" s="11" t="s">
        <v>383</v>
      </c>
      <c r="N73" s="22"/>
      <c r="O73" s="14" t="s">
        <v>307</v>
      </c>
      <c r="P73" s="14" t="str">
        <f t="shared" si="1"/>
        <v>YES</v>
      </c>
    </row>
    <row r="74" spans="1:16" s="14" customFormat="1" ht="18" customHeight="1">
      <c r="A74" s="7">
        <v>72</v>
      </c>
      <c r="B74" s="8" t="s">
        <v>334</v>
      </c>
      <c r="C74" s="8" t="s">
        <v>296</v>
      </c>
      <c r="D74" s="9" t="s">
        <v>221</v>
      </c>
      <c r="E74" s="9" t="s">
        <v>201</v>
      </c>
      <c r="F74" s="10" t="s">
        <v>428</v>
      </c>
      <c r="G74" s="11" t="s">
        <v>542</v>
      </c>
      <c r="H74" s="12" t="s">
        <v>656</v>
      </c>
      <c r="I74" s="12" t="s">
        <v>656</v>
      </c>
      <c r="J74" s="13" t="s">
        <v>572</v>
      </c>
      <c r="K74" s="4">
        <v>1075000</v>
      </c>
      <c r="L74" s="11" t="s">
        <v>372</v>
      </c>
      <c r="M74" s="11" t="s">
        <v>469</v>
      </c>
      <c r="N74" s="22"/>
      <c r="O74" s="14" t="s">
        <v>334</v>
      </c>
      <c r="P74" s="14" t="str">
        <f t="shared" si="1"/>
        <v>YES</v>
      </c>
    </row>
    <row r="75" spans="1:16" s="14" customFormat="1" ht="18" customHeight="1">
      <c r="A75" s="7">
        <v>73</v>
      </c>
      <c r="B75" s="8" t="s">
        <v>322</v>
      </c>
      <c r="C75" s="8" t="s">
        <v>296</v>
      </c>
      <c r="D75" s="9" t="s">
        <v>221</v>
      </c>
      <c r="E75" s="9" t="s">
        <v>201</v>
      </c>
      <c r="F75" s="10" t="s">
        <v>416</v>
      </c>
      <c r="G75" s="11" t="s">
        <v>542</v>
      </c>
      <c r="H75" s="12" t="s">
        <v>657</v>
      </c>
      <c r="I75" s="12" t="s">
        <v>657</v>
      </c>
      <c r="J75" s="13" t="s">
        <v>572</v>
      </c>
      <c r="K75" s="4">
        <v>1075000</v>
      </c>
      <c r="L75" s="11" t="s">
        <v>360</v>
      </c>
      <c r="M75" s="11" t="s">
        <v>457</v>
      </c>
      <c r="N75" s="22"/>
      <c r="O75" s="14" t="s">
        <v>322</v>
      </c>
      <c r="P75" s="14" t="str">
        <f t="shared" si="1"/>
        <v>YES</v>
      </c>
    </row>
    <row r="76" spans="1:16" s="14" customFormat="1" ht="18" customHeight="1">
      <c r="A76" s="7">
        <v>74</v>
      </c>
      <c r="B76" s="8" t="s">
        <v>332</v>
      </c>
      <c r="C76" s="8" t="s">
        <v>296</v>
      </c>
      <c r="D76" s="9" t="s">
        <v>221</v>
      </c>
      <c r="E76" s="9" t="s">
        <v>201</v>
      </c>
      <c r="F76" s="10" t="s">
        <v>426</v>
      </c>
      <c r="G76" s="11" t="s">
        <v>542</v>
      </c>
      <c r="H76" s="12" t="s">
        <v>657</v>
      </c>
      <c r="I76" s="12" t="s">
        <v>657</v>
      </c>
      <c r="J76" s="13" t="s">
        <v>572</v>
      </c>
      <c r="K76" s="4">
        <v>1075000</v>
      </c>
      <c r="L76" s="11" t="s">
        <v>370</v>
      </c>
      <c r="M76" s="11" t="s">
        <v>467</v>
      </c>
      <c r="N76" s="22"/>
      <c r="O76" s="14" t="s">
        <v>332</v>
      </c>
      <c r="P76" s="14" t="str">
        <f t="shared" si="1"/>
        <v>YES</v>
      </c>
    </row>
    <row r="77" spans="1:16" s="14" customFormat="1" ht="18" customHeight="1">
      <c r="A77" s="7">
        <v>75</v>
      </c>
      <c r="B77" s="8" t="s">
        <v>333</v>
      </c>
      <c r="C77" s="8" t="s">
        <v>296</v>
      </c>
      <c r="D77" s="9" t="s">
        <v>221</v>
      </c>
      <c r="E77" s="9" t="s">
        <v>201</v>
      </c>
      <c r="F77" s="10" t="s">
        <v>427</v>
      </c>
      <c r="G77" s="11" t="s">
        <v>542</v>
      </c>
      <c r="H77" s="12" t="s">
        <v>657</v>
      </c>
      <c r="I77" s="12" t="s">
        <v>657</v>
      </c>
      <c r="J77" s="13" t="s">
        <v>572</v>
      </c>
      <c r="K77" s="4">
        <v>1075000</v>
      </c>
      <c r="L77" s="11" t="s">
        <v>371</v>
      </c>
      <c r="M77" s="11" t="s">
        <v>468</v>
      </c>
      <c r="N77" s="22"/>
      <c r="O77" s="14" t="s">
        <v>333</v>
      </c>
      <c r="P77" s="14" t="str">
        <f t="shared" si="1"/>
        <v>YES</v>
      </c>
    </row>
    <row r="78" spans="1:16" s="14" customFormat="1" ht="18" customHeight="1">
      <c r="A78" s="7">
        <v>76</v>
      </c>
      <c r="B78" s="8" t="s">
        <v>311</v>
      </c>
      <c r="C78" s="8" t="s">
        <v>296</v>
      </c>
      <c r="D78" s="9" t="s">
        <v>221</v>
      </c>
      <c r="E78" s="9" t="s">
        <v>201</v>
      </c>
      <c r="F78" s="10" t="s">
        <v>405</v>
      </c>
      <c r="G78" s="11" t="s">
        <v>542</v>
      </c>
      <c r="H78" s="12" t="s">
        <v>658</v>
      </c>
      <c r="I78" s="12" t="s">
        <v>658</v>
      </c>
      <c r="J78" s="13" t="s">
        <v>572</v>
      </c>
      <c r="K78" s="4">
        <v>1075000</v>
      </c>
      <c r="L78" s="11" t="s">
        <v>349</v>
      </c>
      <c r="M78" s="11" t="s">
        <v>387</v>
      </c>
      <c r="N78" s="22"/>
      <c r="O78" s="14" t="s">
        <v>311</v>
      </c>
      <c r="P78" s="14" t="str">
        <f t="shared" si="1"/>
        <v>YES</v>
      </c>
    </row>
    <row r="79" spans="1:16" s="14" customFormat="1" ht="18" customHeight="1">
      <c r="A79" s="7">
        <v>77</v>
      </c>
      <c r="B79" s="8" t="s">
        <v>312</v>
      </c>
      <c r="C79" s="8" t="s">
        <v>296</v>
      </c>
      <c r="D79" s="9" t="s">
        <v>221</v>
      </c>
      <c r="E79" s="9" t="s">
        <v>201</v>
      </c>
      <c r="F79" s="10" t="s">
        <v>406</v>
      </c>
      <c r="G79" s="11" t="s">
        <v>542</v>
      </c>
      <c r="H79" s="12" t="s">
        <v>658</v>
      </c>
      <c r="I79" s="12" t="s">
        <v>658</v>
      </c>
      <c r="J79" s="13" t="s">
        <v>572</v>
      </c>
      <c r="K79" s="4">
        <v>1075000</v>
      </c>
      <c r="L79" s="11" t="s">
        <v>350</v>
      </c>
      <c r="M79" s="11" t="s">
        <v>388</v>
      </c>
      <c r="N79" s="22"/>
      <c r="O79" s="14" t="s">
        <v>312</v>
      </c>
      <c r="P79" s="14" t="str">
        <f t="shared" si="1"/>
        <v>YES</v>
      </c>
    </row>
    <row r="80" spans="1:16" s="14" customFormat="1" ht="18" customHeight="1">
      <c r="A80" s="7">
        <v>78</v>
      </c>
      <c r="B80" s="8" t="s">
        <v>331</v>
      </c>
      <c r="C80" s="8" t="s">
        <v>296</v>
      </c>
      <c r="D80" s="9" t="s">
        <v>221</v>
      </c>
      <c r="E80" s="9" t="s">
        <v>201</v>
      </c>
      <c r="F80" s="10" t="s">
        <v>425</v>
      </c>
      <c r="G80" s="11" t="s">
        <v>542</v>
      </c>
      <c r="H80" s="12" t="s">
        <v>658</v>
      </c>
      <c r="I80" s="12" t="s">
        <v>658</v>
      </c>
      <c r="J80" s="13" t="s">
        <v>572</v>
      </c>
      <c r="K80" s="4">
        <v>1075000</v>
      </c>
      <c r="L80" s="11" t="s">
        <v>369</v>
      </c>
      <c r="M80" s="11" t="s">
        <v>466</v>
      </c>
      <c r="N80" s="22"/>
      <c r="O80" s="14" t="s">
        <v>331</v>
      </c>
      <c r="P80" s="14" t="str">
        <f t="shared" si="1"/>
        <v>YES</v>
      </c>
    </row>
    <row r="81" spans="1:16" s="14" customFormat="1" ht="18" customHeight="1">
      <c r="A81" s="7">
        <v>79</v>
      </c>
      <c r="B81" s="8" t="s">
        <v>308</v>
      </c>
      <c r="C81" s="8" t="s">
        <v>296</v>
      </c>
      <c r="D81" s="9" t="s">
        <v>221</v>
      </c>
      <c r="E81" s="9" t="s">
        <v>201</v>
      </c>
      <c r="F81" s="10" t="s">
        <v>402</v>
      </c>
      <c r="G81" s="11" t="s">
        <v>542</v>
      </c>
      <c r="H81" s="12" t="s">
        <v>659</v>
      </c>
      <c r="I81" s="12" t="s">
        <v>659</v>
      </c>
      <c r="J81" s="13" t="s">
        <v>572</v>
      </c>
      <c r="K81" s="4">
        <v>1075000</v>
      </c>
      <c r="L81" s="11" t="s">
        <v>346</v>
      </c>
      <c r="M81" s="11" t="s">
        <v>384</v>
      </c>
      <c r="N81" s="22"/>
      <c r="O81" s="14" t="s">
        <v>308</v>
      </c>
      <c r="P81" s="14" t="str">
        <f t="shared" si="1"/>
        <v>YES</v>
      </c>
    </row>
    <row r="82" spans="1:16" s="14" customFormat="1" ht="18" customHeight="1">
      <c r="A82" s="7">
        <v>80</v>
      </c>
      <c r="B82" s="8" t="s">
        <v>309</v>
      </c>
      <c r="C82" s="8" t="s">
        <v>296</v>
      </c>
      <c r="D82" s="9" t="s">
        <v>221</v>
      </c>
      <c r="E82" s="9" t="s">
        <v>201</v>
      </c>
      <c r="F82" s="10" t="s">
        <v>403</v>
      </c>
      <c r="G82" s="11" t="s">
        <v>542</v>
      </c>
      <c r="H82" s="12" t="s">
        <v>659</v>
      </c>
      <c r="I82" s="12" t="s">
        <v>659</v>
      </c>
      <c r="J82" s="13" t="s">
        <v>572</v>
      </c>
      <c r="K82" s="4">
        <v>1075000</v>
      </c>
      <c r="L82" s="11" t="s">
        <v>347</v>
      </c>
      <c r="M82" s="11" t="s">
        <v>385</v>
      </c>
      <c r="N82" s="22"/>
      <c r="O82" s="14" t="s">
        <v>309</v>
      </c>
      <c r="P82" s="14" t="str">
        <f t="shared" si="1"/>
        <v>YES</v>
      </c>
    </row>
    <row r="83" spans="1:16" s="14" customFormat="1" ht="18" customHeight="1">
      <c r="A83" s="7">
        <v>81</v>
      </c>
      <c r="B83" s="8" t="s">
        <v>316</v>
      </c>
      <c r="C83" s="8" t="s">
        <v>296</v>
      </c>
      <c r="D83" s="9" t="s">
        <v>221</v>
      </c>
      <c r="E83" s="9" t="s">
        <v>201</v>
      </c>
      <c r="F83" s="10" t="s">
        <v>410</v>
      </c>
      <c r="G83" s="11" t="s">
        <v>542</v>
      </c>
      <c r="H83" s="12" t="s">
        <v>659</v>
      </c>
      <c r="I83" s="12" t="s">
        <v>659</v>
      </c>
      <c r="J83" s="13" t="s">
        <v>572</v>
      </c>
      <c r="K83" s="4">
        <v>1075000</v>
      </c>
      <c r="L83" s="11" t="s">
        <v>354</v>
      </c>
      <c r="M83" s="11" t="s">
        <v>451</v>
      </c>
      <c r="N83" s="22"/>
      <c r="O83" s="14" t="s">
        <v>316</v>
      </c>
      <c r="P83" s="14" t="str">
        <f t="shared" si="1"/>
        <v>YES</v>
      </c>
    </row>
    <row r="84" spans="1:16" s="14" customFormat="1" ht="18" customHeight="1">
      <c r="A84" s="7">
        <v>82</v>
      </c>
      <c r="B84" s="8" t="s">
        <v>321</v>
      </c>
      <c r="C84" s="8" t="s">
        <v>296</v>
      </c>
      <c r="D84" s="9" t="s">
        <v>221</v>
      </c>
      <c r="E84" s="9" t="s">
        <v>201</v>
      </c>
      <c r="F84" s="10" t="s">
        <v>415</v>
      </c>
      <c r="G84" s="11" t="s">
        <v>542</v>
      </c>
      <c r="H84" s="12" t="s">
        <v>659</v>
      </c>
      <c r="I84" s="12" t="s">
        <v>659</v>
      </c>
      <c r="J84" s="13" t="s">
        <v>572</v>
      </c>
      <c r="K84" s="4">
        <v>1075000</v>
      </c>
      <c r="L84" s="11" t="s">
        <v>359</v>
      </c>
      <c r="M84" s="11" t="s">
        <v>456</v>
      </c>
      <c r="N84" s="22"/>
      <c r="O84" s="14" t="s">
        <v>321</v>
      </c>
      <c r="P84" s="14" t="str">
        <f t="shared" si="1"/>
        <v>YES</v>
      </c>
    </row>
    <row r="85" spans="1:16" s="14" customFormat="1" ht="18" customHeight="1">
      <c r="A85" s="7">
        <v>83</v>
      </c>
      <c r="B85" s="8" t="s">
        <v>306</v>
      </c>
      <c r="C85" s="8" t="s">
        <v>296</v>
      </c>
      <c r="D85" s="9" t="s">
        <v>221</v>
      </c>
      <c r="E85" s="9" t="s">
        <v>201</v>
      </c>
      <c r="F85" s="10" t="s">
        <v>400</v>
      </c>
      <c r="G85" s="11" t="s">
        <v>542</v>
      </c>
      <c r="H85" s="12" t="s">
        <v>653</v>
      </c>
      <c r="I85" s="12" t="s">
        <v>653</v>
      </c>
      <c r="J85" s="13" t="s">
        <v>572</v>
      </c>
      <c r="K85" s="4">
        <v>1075000</v>
      </c>
      <c r="L85" s="11" t="s">
        <v>344</v>
      </c>
      <c r="M85" s="11" t="s">
        <v>382</v>
      </c>
      <c r="N85" s="22"/>
      <c r="O85" s="14" t="s">
        <v>306</v>
      </c>
      <c r="P85" s="14" t="str">
        <f t="shared" si="1"/>
        <v>YES</v>
      </c>
    </row>
    <row r="86" spans="1:16" s="14" customFormat="1" ht="18" customHeight="1">
      <c r="A86" s="7">
        <v>84</v>
      </c>
      <c r="B86" s="8" t="s">
        <v>327</v>
      </c>
      <c r="C86" s="8" t="s">
        <v>296</v>
      </c>
      <c r="D86" s="9" t="s">
        <v>221</v>
      </c>
      <c r="E86" s="9" t="s">
        <v>201</v>
      </c>
      <c r="F86" s="10" t="s">
        <v>421</v>
      </c>
      <c r="G86" s="11" t="s">
        <v>542</v>
      </c>
      <c r="H86" s="12" t="s">
        <v>653</v>
      </c>
      <c r="I86" s="12" t="s">
        <v>653</v>
      </c>
      <c r="J86" s="13" t="s">
        <v>572</v>
      </c>
      <c r="K86" s="4">
        <v>1075000</v>
      </c>
      <c r="L86" s="11" t="s">
        <v>365</v>
      </c>
      <c r="M86" s="11" t="s">
        <v>462</v>
      </c>
      <c r="N86" s="22"/>
      <c r="O86" s="14" t="s">
        <v>327</v>
      </c>
      <c r="P86" s="14" t="str">
        <f t="shared" si="1"/>
        <v>YES</v>
      </c>
    </row>
    <row r="87" spans="1:16" s="14" customFormat="1" ht="18" customHeight="1">
      <c r="A87" s="7">
        <v>85</v>
      </c>
      <c r="B87" s="8" t="s">
        <v>330</v>
      </c>
      <c r="C87" s="8" t="s">
        <v>296</v>
      </c>
      <c r="D87" s="9" t="s">
        <v>221</v>
      </c>
      <c r="E87" s="9" t="s">
        <v>201</v>
      </c>
      <c r="F87" s="10" t="s">
        <v>424</v>
      </c>
      <c r="G87" s="11" t="s">
        <v>542</v>
      </c>
      <c r="H87" s="12" t="s">
        <v>653</v>
      </c>
      <c r="I87" s="12" t="s">
        <v>653</v>
      </c>
      <c r="J87" s="13" t="s">
        <v>572</v>
      </c>
      <c r="K87" s="4">
        <v>1075000</v>
      </c>
      <c r="L87" s="11" t="s">
        <v>368</v>
      </c>
      <c r="M87" s="11" t="s">
        <v>465</v>
      </c>
      <c r="N87" s="22"/>
      <c r="O87" s="14" t="s">
        <v>330</v>
      </c>
      <c r="P87" s="14" t="str">
        <f t="shared" si="1"/>
        <v>YES</v>
      </c>
    </row>
    <row r="88" spans="1:16" s="14" customFormat="1" ht="18" customHeight="1">
      <c r="A88" s="7">
        <v>86</v>
      </c>
      <c r="B88" s="8" t="s">
        <v>298</v>
      </c>
      <c r="C88" s="8" t="s">
        <v>296</v>
      </c>
      <c r="D88" s="9" t="s">
        <v>221</v>
      </c>
      <c r="E88" s="9" t="s">
        <v>201</v>
      </c>
      <c r="F88" s="10" t="s">
        <v>392</v>
      </c>
      <c r="G88" s="11" t="s">
        <v>542</v>
      </c>
      <c r="H88" s="12" t="s">
        <v>660</v>
      </c>
      <c r="I88" s="12" t="s">
        <v>660</v>
      </c>
      <c r="J88" s="13" t="s">
        <v>572</v>
      </c>
      <c r="K88" s="4">
        <v>1075000</v>
      </c>
      <c r="L88" s="11" t="s">
        <v>336</v>
      </c>
      <c r="M88" s="11" t="s">
        <v>374</v>
      </c>
      <c r="N88" s="22"/>
      <c r="O88" s="14" t="s">
        <v>298</v>
      </c>
      <c r="P88" s="14" t="str">
        <f t="shared" si="1"/>
        <v>YES</v>
      </c>
    </row>
    <row r="89" spans="1:16" s="14" customFormat="1" ht="18" customHeight="1">
      <c r="A89" s="7">
        <v>87</v>
      </c>
      <c r="B89" s="8" t="s">
        <v>305</v>
      </c>
      <c r="C89" s="8" t="s">
        <v>296</v>
      </c>
      <c r="D89" s="9" t="s">
        <v>221</v>
      </c>
      <c r="E89" s="9" t="s">
        <v>201</v>
      </c>
      <c r="F89" s="10" t="s">
        <v>399</v>
      </c>
      <c r="G89" s="11" t="s">
        <v>542</v>
      </c>
      <c r="H89" s="12" t="s">
        <v>660</v>
      </c>
      <c r="I89" s="12" t="s">
        <v>660</v>
      </c>
      <c r="J89" s="13" t="s">
        <v>572</v>
      </c>
      <c r="K89" s="4">
        <v>1075000</v>
      </c>
      <c r="L89" s="11" t="s">
        <v>343</v>
      </c>
      <c r="M89" s="11" t="s">
        <v>381</v>
      </c>
      <c r="N89" s="22"/>
      <c r="O89" s="14" t="s">
        <v>305</v>
      </c>
      <c r="P89" s="14" t="str">
        <f t="shared" si="1"/>
        <v>YES</v>
      </c>
    </row>
    <row r="90" spans="1:16" s="14" customFormat="1" ht="18" customHeight="1">
      <c r="A90" s="7">
        <v>88</v>
      </c>
      <c r="B90" s="8" t="s">
        <v>323</v>
      </c>
      <c r="C90" s="8" t="s">
        <v>296</v>
      </c>
      <c r="D90" s="9" t="s">
        <v>221</v>
      </c>
      <c r="E90" s="9" t="s">
        <v>201</v>
      </c>
      <c r="F90" s="10" t="s">
        <v>417</v>
      </c>
      <c r="G90" s="11" t="s">
        <v>542</v>
      </c>
      <c r="H90" s="12" t="s">
        <v>660</v>
      </c>
      <c r="I90" s="12" t="s">
        <v>660</v>
      </c>
      <c r="J90" s="13" t="s">
        <v>572</v>
      </c>
      <c r="K90" s="4">
        <v>1075000</v>
      </c>
      <c r="L90" s="11" t="s">
        <v>361</v>
      </c>
      <c r="M90" s="11" t="s">
        <v>458</v>
      </c>
      <c r="N90" s="22"/>
      <c r="O90" s="14" t="s">
        <v>323</v>
      </c>
      <c r="P90" s="14" t="str">
        <f t="shared" si="1"/>
        <v>YES</v>
      </c>
    </row>
    <row r="91" spans="1:16" s="14" customFormat="1" ht="18" customHeight="1">
      <c r="A91" s="7">
        <v>89</v>
      </c>
      <c r="B91" s="8" t="s">
        <v>300</v>
      </c>
      <c r="C91" s="8" t="s">
        <v>296</v>
      </c>
      <c r="D91" s="9" t="s">
        <v>221</v>
      </c>
      <c r="E91" s="9" t="s">
        <v>201</v>
      </c>
      <c r="F91" s="10" t="s">
        <v>394</v>
      </c>
      <c r="G91" s="11" t="s">
        <v>542</v>
      </c>
      <c r="H91" s="12" t="s">
        <v>661</v>
      </c>
      <c r="I91" s="12" t="s">
        <v>661</v>
      </c>
      <c r="J91" s="13" t="s">
        <v>572</v>
      </c>
      <c r="K91" s="4">
        <v>1075000</v>
      </c>
      <c r="L91" s="11" t="s">
        <v>338</v>
      </c>
      <c r="M91" s="11" t="s">
        <v>376</v>
      </c>
      <c r="N91" s="22"/>
      <c r="O91" s="14" t="s">
        <v>300</v>
      </c>
      <c r="P91" s="14" t="str">
        <f t="shared" si="1"/>
        <v>YES</v>
      </c>
    </row>
    <row r="92" spans="1:16" s="14" customFormat="1" ht="18" customHeight="1">
      <c r="A92" s="7">
        <v>90</v>
      </c>
      <c r="B92" s="8" t="s">
        <v>301</v>
      </c>
      <c r="C92" s="8" t="s">
        <v>296</v>
      </c>
      <c r="D92" s="9" t="s">
        <v>221</v>
      </c>
      <c r="E92" s="9" t="s">
        <v>201</v>
      </c>
      <c r="F92" s="10" t="s">
        <v>395</v>
      </c>
      <c r="G92" s="11" t="s">
        <v>542</v>
      </c>
      <c r="H92" s="12" t="s">
        <v>661</v>
      </c>
      <c r="I92" s="12" t="s">
        <v>661</v>
      </c>
      <c r="J92" s="13" t="s">
        <v>572</v>
      </c>
      <c r="K92" s="4">
        <v>1075000</v>
      </c>
      <c r="L92" s="11" t="s">
        <v>339</v>
      </c>
      <c r="M92" s="11" t="s">
        <v>377</v>
      </c>
      <c r="N92" s="22"/>
      <c r="O92" s="14" t="s">
        <v>301</v>
      </c>
      <c r="P92" s="14" t="str">
        <f t="shared" si="1"/>
        <v>YES</v>
      </c>
    </row>
    <row r="93" spans="1:16" s="14" customFormat="1" ht="18" customHeight="1">
      <c r="A93" s="7">
        <v>91</v>
      </c>
      <c r="B93" s="8" t="s">
        <v>324</v>
      </c>
      <c r="C93" s="8" t="s">
        <v>296</v>
      </c>
      <c r="D93" s="9" t="s">
        <v>221</v>
      </c>
      <c r="E93" s="9" t="s">
        <v>201</v>
      </c>
      <c r="F93" s="10" t="s">
        <v>418</v>
      </c>
      <c r="G93" s="11" t="s">
        <v>542</v>
      </c>
      <c r="H93" s="12" t="s">
        <v>661</v>
      </c>
      <c r="I93" s="12" t="s">
        <v>661</v>
      </c>
      <c r="J93" s="13" t="s">
        <v>572</v>
      </c>
      <c r="K93" s="4">
        <v>1075000</v>
      </c>
      <c r="L93" s="11" t="s">
        <v>362</v>
      </c>
      <c r="M93" s="11" t="s">
        <v>459</v>
      </c>
      <c r="N93" s="22"/>
      <c r="O93" s="14" t="s">
        <v>324</v>
      </c>
      <c r="P93" s="14" t="str">
        <f t="shared" si="1"/>
        <v>YES</v>
      </c>
    </row>
    <row r="94" spans="1:16" s="14" customFormat="1" ht="18" customHeight="1">
      <c r="A94" s="7">
        <v>92</v>
      </c>
      <c r="B94" s="8" t="s">
        <v>317</v>
      </c>
      <c r="C94" s="8" t="s">
        <v>296</v>
      </c>
      <c r="D94" s="9" t="s">
        <v>221</v>
      </c>
      <c r="E94" s="9" t="s">
        <v>201</v>
      </c>
      <c r="F94" s="10" t="s">
        <v>411</v>
      </c>
      <c r="G94" s="11" t="s">
        <v>542</v>
      </c>
      <c r="H94" s="12" t="s">
        <v>637</v>
      </c>
      <c r="I94" s="12" t="s">
        <v>637</v>
      </c>
      <c r="J94" s="13" t="s">
        <v>572</v>
      </c>
      <c r="K94" s="4">
        <v>1075000</v>
      </c>
      <c r="L94" s="11" t="s">
        <v>355</v>
      </c>
      <c r="M94" s="11" t="s">
        <v>452</v>
      </c>
      <c r="N94" s="22"/>
      <c r="O94" s="14" t="s">
        <v>317</v>
      </c>
      <c r="P94" s="14" t="str">
        <f t="shared" si="1"/>
        <v>YES</v>
      </c>
    </row>
    <row r="95" spans="1:16" s="14" customFormat="1" ht="18" customHeight="1">
      <c r="A95" s="7">
        <v>93</v>
      </c>
      <c r="B95" s="8" t="s">
        <v>318</v>
      </c>
      <c r="C95" s="8" t="s">
        <v>296</v>
      </c>
      <c r="D95" s="9" t="s">
        <v>221</v>
      </c>
      <c r="E95" s="9" t="s">
        <v>201</v>
      </c>
      <c r="F95" s="10" t="s">
        <v>412</v>
      </c>
      <c r="G95" s="11" t="s">
        <v>542</v>
      </c>
      <c r="H95" s="12" t="s">
        <v>637</v>
      </c>
      <c r="I95" s="12" t="s">
        <v>637</v>
      </c>
      <c r="J95" s="13" t="s">
        <v>572</v>
      </c>
      <c r="K95" s="4">
        <v>1075000</v>
      </c>
      <c r="L95" s="11" t="s">
        <v>356</v>
      </c>
      <c r="M95" s="11" t="s">
        <v>453</v>
      </c>
      <c r="N95" s="22"/>
      <c r="O95" s="14" t="s">
        <v>318</v>
      </c>
      <c r="P95" s="14" t="str">
        <f t="shared" si="1"/>
        <v>YES</v>
      </c>
    </row>
    <row r="96" spans="1:16" s="14" customFormat="1" ht="18" customHeight="1">
      <c r="A96" s="7">
        <v>94</v>
      </c>
      <c r="B96" s="8" t="s">
        <v>319</v>
      </c>
      <c r="C96" s="8" t="s">
        <v>296</v>
      </c>
      <c r="D96" s="9" t="s">
        <v>221</v>
      </c>
      <c r="E96" s="9" t="s">
        <v>201</v>
      </c>
      <c r="F96" s="10" t="s">
        <v>413</v>
      </c>
      <c r="G96" s="11" t="s">
        <v>542</v>
      </c>
      <c r="H96" s="12" t="s">
        <v>637</v>
      </c>
      <c r="I96" s="12" t="s">
        <v>637</v>
      </c>
      <c r="J96" s="13" t="s">
        <v>572</v>
      </c>
      <c r="K96" s="4">
        <v>1075000</v>
      </c>
      <c r="L96" s="11" t="s">
        <v>357</v>
      </c>
      <c r="M96" s="11" t="s">
        <v>454</v>
      </c>
      <c r="N96" s="22"/>
      <c r="O96" s="14" t="s">
        <v>319</v>
      </c>
      <c r="P96" s="14" t="str">
        <f t="shared" si="1"/>
        <v>YES</v>
      </c>
    </row>
    <row r="97" spans="1:16" s="14" customFormat="1" ht="18" customHeight="1">
      <c r="A97" s="7">
        <v>95</v>
      </c>
      <c r="B97" s="8" t="s">
        <v>320</v>
      </c>
      <c r="C97" s="8" t="s">
        <v>296</v>
      </c>
      <c r="D97" s="9" t="s">
        <v>221</v>
      </c>
      <c r="E97" s="9" t="s">
        <v>201</v>
      </c>
      <c r="F97" s="10" t="s">
        <v>414</v>
      </c>
      <c r="G97" s="11" t="s">
        <v>542</v>
      </c>
      <c r="H97" s="12" t="s">
        <v>637</v>
      </c>
      <c r="I97" s="12" t="s">
        <v>637</v>
      </c>
      <c r="J97" s="13" t="s">
        <v>572</v>
      </c>
      <c r="K97" s="4">
        <v>1075000</v>
      </c>
      <c r="L97" s="11" t="s">
        <v>358</v>
      </c>
      <c r="M97" s="11" t="s">
        <v>455</v>
      </c>
      <c r="N97" s="22"/>
      <c r="O97" s="14" t="s">
        <v>320</v>
      </c>
      <c r="P97" s="14" t="str">
        <f t="shared" si="1"/>
        <v>YES</v>
      </c>
    </row>
    <row r="98" spans="1:16" s="14" customFormat="1" ht="18" customHeight="1">
      <c r="A98" s="7">
        <v>96</v>
      </c>
      <c r="B98" s="8" t="s">
        <v>310</v>
      </c>
      <c r="C98" s="8" t="s">
        <v>296</v>
      </c>
      <c r="D98" s="9" t="s">
        <v>221</v>
      </c>
      <c r="E98" s="9" t="s">
        <v>201</v>
      </c>
      <c r="F98" s="10" t="s">
        <v>404</v>
      </c>
      <c r="G98" s="11">
        <v>100</v>
      </c>
      <c r="H98" s="12" t="s">
        <v>643</v>
      </c>
      <c r="I98" s="12" t="s">
        <v>643</v>
      </c>
      <c r="J98" s="13" t="s">
        <v>572</v>
      </c>
      <c r="K98" s="4">
        <v>1075000</v>
      </c>
      <c r="L98" s="11" t="s">
        <v>348</v>
      </c>
      <c r="M98" s="11" t="s">
        <v>386</v>
      </c>
      <c r="N98" s="22"/>
      <c r="O98" s="14" t="s">
        <v>310</v>
      </c>
      <c r="P98" s="14" t="str">
        <f t="shared" si="1"/>
        <v>YES</v>
      </c>
    </row>
    <row r="99" spans="1:16" s="14" customFormat="1" ht="18" customHeight="1">
      <c r="A99" s="7">
        <v>97</v>
      </c>
      <c r="B99" s="8" t="s">
        <v>313</v>
      </c>
      <c r="C99" s="8" t="s">
        <v>296</v>
      </c>
      <c r="D99" s="9" t="s">
        <v>221</v>
      </c>
      <c r="E99" s="9" t="s">
        <v>201</v>
      </c>
      <c r="F99" s="10" t="s">
        <v>407</v>
      </c>
      <c r="G99" s="11">
        <v>100</v>
      </c>
      <c r="H99" s="12" t="s">
        <v>643</v>
      </c>
      <c r="I99" s="12" t="s">
        <v>643</v>
      </c>
      <c r="J99" s="13" t="s">
        <v>572</v>
      </c>
      <c r="K99" s="4">
        <v>1075000</v>
      </c>
      <c r="L99" s="11" t="s">
        <v>351</v>
      </c>
      <c r="M99" s="11" t="s">
        <v>389</v>
      </c>
      <c r="N99" s="22"/>
      <c r="O99" s="14" t="s">
        <v>313</v>
      </c>
      <c r="P99" s="14" t="str">
        <f t="shared" si="1"/>
        <v>YES</v>
      </c>
    </row>
    <row r="100" spans="1:16" s="14" customFormat="1" ht="18" customHeight="1">
      <c r="A100" s="7">
        <v>98</v>
      </c>
      <c r="B100" s="8" t="s">
        <v>314</v>
      </c>
      <c r="C100" s="8" t="s">
        <v>296</v>
      </c>
      <c r="D100" s="9" t="s">
        <v>221</v>
      </c>
      <c r="E100" s="9" t="s">
        <v>201</v>
      </c>
      <c r="F100" s="10" t="s">
        <v>408</v>
      </c>
      <c r="G100" s="11">
        <v>100</v>
      </c>
      <c r="H100" s="12" t="s">
        <v>643</v>
      </c>
      <c r="I100" s="12" t="s">
        <v>643</v>
      </c>
      <c r="J100" s="13" t="s">
        <v>572</v>
      </c>
      <c r="K100" s="4">
        <v>1075000</v>
      </c>
      <c r="L100" s="11" t="s">
        <v>352</v>
      </c>
      <c r="M100" s="11" t="s">
        <v>390</v>
      </c>
      <c r="N100" s="22"/>
      <c r="O100" s="14" t="s">
        <v>314</v>
      </c>
      <c r="P100" s="14" t="str">
        <f t="shared" si="1"/>
        <v>YES</v>
      </c>
    </row>
    <row r="101" spans="1:16" s="14" customFormat="1" ht="18" customHeight="1">
      <c r="A101" s="7">
        <v>99</v>
      </c>
      <c r="B101" s="8" t="s">
        <v>315</v>
      </c>
      <c r="C101" s="8" t="s">
        <v>296</v>
      </c>
      <c r="D101" s="9" t="s">
        <v>221</v>
      </c>
      <c r="E101" s="9" t="s">
        <v>201</v>
      </c>
      <c r="F101" s="10" t="s">
        <v>409</v>
      </c>
      <c r="G101" s="11">
        <v>100</v>
      </c>
      <c r="H101" s="12" t="s">
        <v>643</v>
      </c>
      <c r="I101" s="12" t="s">
        <v>643</v>
      </c>
      <c r="J101" s="13" t="s">
        <v>572</v>
      </c>
      <c r="K101" s="4">
        <v>1075000</v>
      </c>
      <c r="L101" s="11" t="s">
        <v>353</v>
      </c>
      <c r="M101" s="11" t="s">
        <v>450</v>
      </c>
      <c r="N101" s="22"/>
      <c r="O101" s="14" t="s">
        <v>315</v>
      </c>
      <c r="P101" s="14" t="str">
        <f t="shared" si="1"/>
        <v>YES</v>
      </c>
    </row>
    <row r="102" spans="1:16" s="14" customFormat="1" ht="18" customHeight="1">
      <c r="A102" s="7">
        <v>100</v>
      </c>
      <c r="B102" s="8" t="s">
        <v>297</v>
      </c>
      <c r="C102" s="8" t="s">
        <v>296</v>
      </c>
      <c r="D102" s="9" t="s">
        <v>221</v>
      </c>
      <c r="E102" s="9" t="s">
        <v>201</v>
      </c>
      <c r="F102" s="10" t="s">
        <v>391</v>
      </c>
      <c r="G102" s="11">
        <v>100</v>
      </c>
      <c r="H102" s="12" t="s">
        <v>650</v>
      </c>
      <c r="I102" s="12" t="s">
        <v>650</v>
      </c>
      <c r="J102" s="13" t="s">
        <v>572</v>
      </c>
      <c r="K102" s="4">
        <v>1075000</v>
      </c>
      <c r="L102" s="11" t="s">
        <v>335</v>
      </c>
      <c r="M102" s="11" t="s">
        <v>373</v>
      </c>
      <c r="N102" s="22"/>
      <c r="O102" s="14" t="s">
        <v>297</v>
      </c>
      <c r="P102" s="14" t="str">
        <f t="shared" si="1"/>
        <v>YES</v>
      </c>
    </row>
    <row r="103" spans="1:16" s="14" customFormat="1" ht="18" customHeight="1">
      <c r="A103" s="7">
        <v>101</v>
      </c>
      <c r="B103" s="8" t="s">
        <v>303</v>
      </c>
      <c r="C103" s="8" t="s">
        <v>296</v>
      </c>
      <c r="D103" s="9" t="s">
        <v>221</v>
      </c>
      <c r="E103" s="9" t="s">
        <v>201</v>
      </c>
      <c r="F103" s="10" t="s">
        <v>397</v>
      </c>
      <c r="G103" s="11">
        <v>100</v>
      </c>
      <c r="H103" s="12" t="s">
        <v>650</v>
      </c>
      <c r="I103" s="12" t="s">
        <v>650</v>
      </c>
      <c r="J103" s="13" t="s">
        <v>572</v>
      </c>
      <c r="K103" s="4">
        <v>1075000</v>
      </c>
      <c r="L103" s="11" t="s">
        <v>341</v>
      </c>
      <c r="M103" s="11" t="s">
        <v>379</v>
      </c>
      <c r="N103" s="22"/>
      <c r="O103" s="14" t="s">
        <v>303</v>
      </c>
      <c r="P103" s="14" t="str">
        <f t="shared" si="1"/>
        <v>YES</v>
      </c>
    </row>
    <row r="104" spans="1:16" s="14" customFormat="1" ht="18" customHeight="1">
      <c r="A104" s="7">
        <v>102</v>
      </c>
      <c r="B104" s="8" t="s">
        <v>304</v>
      </c>
      <c r="C104" s="8" t="s">
        <v>296</v>
      </c>
      <c r="D104" s="9" t="s">
        <v>221</v>
      </c>
      <c r="E104" s="9" t="s">
        <v>201</v>
      </c>
      <c r="F104" s="10" t="s">
        <v>398</v>
      </c>
      <c r="G104" s="11">
        <v>100</v>
      </c>
      <c r="H104" s="12" t="s">
        <v>650</v>
      </c>
      <c r="I104" s="12" t="s">
        <v>650</v>
      </c>
      <c r="J104" s="13" t="s">
        <v>572</v>
      </c>
      <c r="K104" s="4">
        <v>1075000</v>
      </c>
      <c r="L104" s="11" t="s">
        <v>342</v>
      </c>
      <c r="M104" s="11" t="s">
        <v>380</v>
      </c>
      <c r="N104" s="22"/>
      <c r="O104" s="14" t="s">
        <v>304</v>
      </c>
      <c r="P104" s="14" t="str">
        <f t="shared" si="1"/>
        <v>YES</v>
      </c>
    </row>
    <row r="105" spans="1:16" s="14" customFormat="1" ht="18" customHeight="1">
      <c r="A105" s="7">
        <v>103</v>
      </c>
      <c r="B105" s="8" t="s">
        <v>302</v>
      </c>
      <c r="C105" s="8" t="s">
        <v>296</v>
      </c>
      <c r="D105" s="9" t="s">
        <v>221</v>
      </c>
      <c r="E105" s="9" t="s">
        <v>201</v>
      </c>
      <c r="F105" s="10" t="s">
        <v>396</v>
      </c>
      <c r="G105" s="11" t="s">
        <v>585</v>
      </c>
      <c r="H105" s="12" t="s">
        <v>644</v>
      </c>
      <c r="I105" s="12" t="s">
        <v>644</v>
      </c>
      <c r="J105" s="13" t="s">
        <v>572</v>
      </c>
      <c r="K105" s="4">
        <v>1075000</v>
      </c>
      <c r="L105" s="11" t="s">
        <v>340</v>
      </c>
      <c r="M105" s="11" t="s">
        <v>378</v>
      </c>
      <c r="N105" s="22"/>
      <c r="O105" s="14" t="s">
        <v>302</v>
      </c>
      <c r="P105" s="14" t="str">
        <f t="shared" si="1"/>
        <v>YES</v>
      </c>
    </row>
    <row r="106" spans="1:16" s="14" customFormat="1" ht="18" customHeight="1">
      <c r="A106" s="7">
        <v>104</v>
      </c>
      <c r="B106" s="8" t="s">
        <v>148</v>
      </c>
      <c r="C106" s="8" t="s">
        <v>208</v>
      </c>
      <c r="D106" s="9" t="s">
        <v>221</v>
      </c>
      <c r="E106" s="9" t="s">
        <v>201</v>
      </c>
      <c r="F106" s="10" t="s">
        <v>282</v>
      </c>
      <c r="G106" s="11">
        <v>100</v>
      </c>
      <c r="H106" s="12" t="s">
        <v>638</v>
      </c>
      <c r="I106" s="12" t="s">
        <v>675</v>
      </c>
      <c r="J106" s="13" t="s">
        <v>572</v>
      </c>
      <c r="K106" s="4">
        <v>1075000</v>
      </c>
      <c r="L106" s="11" t="s">
        <v>149</v>
      </c>
      <c r="M106" s="11" t="s">
        <v>150</v>
      </c>
      <c r="N106" s="22"/>
      <c r="O106" s="14" t="s">
        <v>148</v>
      </c>
      <c r="P106" s="14" t="str">
        <f t="shared" si="1"/>
        <v>YES</v>
      </c>
    </row>
    <row r="107" spans="1:16" s="14" customFormat="1" ht="18" customHeight="1">
      <c r="A107" s="7">
        <v>105</v>
      </c>
      <c r="B107" s="8" t="s">
        <v>326</v>
      </c>
      <c r="C107" s="8" t="s">
        <v>296</v>
      </c>
      <c r="D107" s="9" t="s">
        <v>221</v>
      </c>
      <c r="E107" s="9" t="s">
        <v>201</v>
      </c>
      <c r="F107" s="10" t="s">
        <v>420</v>
      </c>
      <c r="G107" s="11">
        <v>100</v>
      </c>
      <c r="H107" s="12" t="s">
        <v>662</v>
      </c>
      <c r="I107" s="12" t="s">
        <v>662</v>
      </c>
      <c r="J107" s="13" t="s">
        <v>572</v>
      </c>
      <c r="K107" s="4">
        <v>1075000</v>
      </c>
      <c r="L107" s="11" t="s">
        <v>364</v>
      </c>
      <c r="M107" s="11" t="s">
        <v>461</v>
      </c>
      <c r="N107" s="22"/>
      <c r="O107" s="14" t="s">
        <v>326</v>
      </c>
      <c r="P107" s="14" t="str">
        <f t="shared" si="1"/>
        <v>YES</v>
      </c>
    </row>
    <row r="108" spans="1:16" s="14" customFormat="1" ht="18" customHeight="1">
      <c r="A108" s="7">
        <v>106</v>
      </c>
      <c r="B108" s="8" t="s">
        <v>142</v>
      </c>
      <c r="C108" s="8" t="s">
        <v>208</v>
      </c>
      <c r="D108" s="9" t="s">
        <v>221</v>
      </c>
      <c r="E108" s="9" t="s">
        <v>202</v>
      </c>
      <c r="F108" s="10" t="s">
        <v>251</v>
      </c>
      <c r="G108" s="11">
        <v>100</v>
      </c>
      <c r="H108" s="12" t="s">
        <v>636</v>
      </c>
      <c r="I108" s="12" t="s">
        <v>632</v>
      </c>
      <c r="J108" s="13" t="s">
        <v>570</v>
      </c>
      <c r="K108" s="4">
        <v>7525000</v>
      </c>
      <c r="L108" s="11" t="s">
        <v>143</v>
      </c>
      <c r="M108" s="11" t="s">
        <v>144</v>
      </c>
      <c r="N108" s="22"/>
      <c r="O108" s="14" t="s">
        <v>142</v>
      </c>
      <c r="P108" s="14" t="str">
        <f t="shared" si="1"/>
        <v>YES</v>
      </c>
    </row>
    <row r="109" spans="1:16" s="14" customFormat="1" ht="18" customHeight="1">
      <c r="A109" s="7">
        <v>107</v>
      </c>
      <c r="B109" s="8" t="s">
        <v>443</v>
      </c>
      <c r="C109" s="8" t="s">
        <v>233</v>
      </c>
      <c r="D109" s="9" t="s">
        <v>216</v>
      </c>
      <c r="E109" s="9" t="s">
        <v>201</v>
      </c>
      <c r="F109" s="10" t="s">
        <v>439</v>
      </c>
      <c r="G109" s="11">
        <v>100</v>
      </c>
      <c r="H109" s="12" t="s">
        <v>649</v>
      </c>
      <c r="I109" s="12" t="s">
        <v>637</v>
      </c>
      <c r="J109" s="13" t="s">
        <v>570</v>
      </c>
      <c r="K109" s="4">
        <v>1174975</v>
      </c>
      <c r="L109" s="11" t="s">
        <v>470</v>
      </c>
      <c r="M109" s="11" t="s">
        <v>471</v>
      </c>
      <c r="N109" s="22"/>
      <c r="O109" s="14" t="s">
        <v>443</v>
      </c>
      <c r="P109" s="14" t="str">
        <f t="shared" si="1"/>
        <v>YES</v>
      </c>
    </row>
    <row r="110" spans="1:16" s="14" customFormat="1" ht="18" customHeight="1">
      <c r="A110" s="7">
        <v>108</v>
      </c>
      <c r="B110" s="8" t="s">
        <v>444</v>
      </c>
      <c r="C110" s="8" t="s">
        <v>229</v>
      </c>
      <c r="D110" s="9" t="s">
        <v>216</v>
      </c>
      <c r="E110" s="9" t="s">
        <v>201</v>
      </c>
      <c r="F110" s="10" t="s">
        <v>440</v>
      </c>
      <c r="G110" s="11">
        <v>10</v>
      </c>
      <c r="H110" s="12" t="s">
        <v>653</v>
      </c>
      <c r="I110" s="12" t="s">
        <v>653</v>
      </c>
      <c r="J110" s="13" t="s">
        <v>570</v>
      </c>
      <c r="K110" s="4">
        <v>1263125</v>
      </c>
      <c r="L110" s="11" t="s">
        <v>472</v>
      </c>
      <c r="M110" s="11" t="s">
        <v>473</v>
      </c>
      <c r="N110" s="22"/>
      <c r="O110" s="14" t="s">
        <v>444</v>
      </c>
      <c r="P110" s="14" t="str">
        <f t="shared" si="1"/>
        <v>YES</v>
      </c>
    </row>
    <row r="111" spans="1:16" s="14" customFormat="1" ht="18" customHeight="1">
      <c r="A111" s="7">
        <v>109</v>
      </c>
      <c r="B111" s="8" t="s">
        <v>446</v>
      </c>
      <c r="C111" s="8" t="s">
        <v>229</v>
      </c>
      <c r="D111" s="9" t="s">
        <v>216</v>
      </c>
      <c r="E111" s="9" t="s">
        <v>201</v>
      </c>
      <c r="F111" s="10" t="s">
        <v>448</v>
      </c>
      <c r="G111" s="11">
        <v>10</v>
      </c>
      <c r="H111" s="12" t="s">
        <v>660</v>
      </c>
      <c r="I111" s="12" t="s">
        <v>658</v>
      </c>
      <c r="J111" s="13" t="s">
        <v>570</v>
      </c>
      <c r="K111" s="4">
        <v>493425</v>
      </c>
      <c r="L111" s="11" t="s">
        <v>474</v>
      </c>
      <c r="M111" s="11" t="s">
        <v>475</v>
      </c>
      <c r="N111" s="22"/>
      <c r="O111" s="14" t="s">
        <v>446</v>
      </c>
      <c r="P111" s="14" t="str">
        <f t="shared" si="1"/>
        <v>YES</v>
      </c>
    </row>
    <row r="112" spans="1:16" s="14" customFormat="1" ht="18" customHeight="1">
      <c r="A112" s="7">
        <v>110</v>
      </c>
      <c r="B112" s="8" t="s">
        <v>447</v>
      </c>
      <c r="C112" s="8" t="s">
        <v>482</v>
      </c>
      <c r="D112" s="9" t="s">
        <v>216</v>
      </c>
      <c r="E112" s="9" t="s">
        <v>201</v>
      </c>
      <c r="F112" s="10" t="s">
        <v>483</v>
      </c>
      <c r="G112" s="11">
        <v>10</v>
      </c>
      <c r="H112" s="12" t="s">
        <v>663</v>
      </c>
      <c r="I112" s="12" t="s">
        <v>670</v>
      </c>
      <c r="J112" s="13" t="s">
        <v>570</v>
      </c>
      <c r="K112" s="4">
        <v>1174975</v>
      </c>
      <c r="L112" s="11" t="s">
        <v>476</v>
      </c>
      <c r="M112" s="11" t="s">
        <v>477</v>
      </c>
      <c r="N112" s="22"/>
      <c r="O112" s="14" t="s">
        <v>447</v>
      </c>
      <c r="P112" s="14" t="str">
        <f t="shared" si="1"/>
        <v>YES</v>
      </c>
    </row>
    <row r="113" spans="1:16" s="14" customFormat="1" ht="18" customHeight="1">
      <c r="A113" s="7">
        <v>111</v>
      </c>
      <c r="B113" s="8" t="s">
        <v>445</v>
      </c>
      <c r="C113" s="8" t="s">
        <v>442</v>
      </c>
      <c r="D113" s="9" t="s">
        <v>216</v>
      </c>
      <c r="E113" s="9" t="s">
        <v>201</v>
      </c>
      <c r="F113" s="10" t="s">
        <v>441</v>
      </c>
      <c r="G113" s="11">
        <v>0</v>
      </c>
      <c r="H113" s="12" t="s">
        <v>664</v>
      </c>
      <c r="I113" s="12" t="s">
        <v>664</v>
      </c>
      <c r="J113" s="13" t="s">
        <v>570</v>
      </c>
      <c r="K113" s="4">
        <v>3456125</v>
      </c>
      <c r="L113" s="11" t="s">
        <v>478</v>
      </c>
      <c r="M113" s="11" t="s">
        <v>479</v>
      </c>
      <c r="N113" s="22"/>
      <c r="O113" s="14" t="s">
        <v>445</v>
      </c>
      <c r="P113" s="14" t="str">
        <f t="shared" si="1"/>
        <v>YES</v>
      </c>
    </row>
    <row r="114" spans="1:16" s="14" customFormat="1" ht="18" customHeight="1">
      <c r="A114" s="7">
        <v>112</v>
      </c>
      <c r="B114" s="8" t="s">
        <v>480</v>
      </c>
      <c r="C114" s="8" t="s">
        <v>484</v>
      </c>
      <c r="D114" s="9" t="s">
        <v>216</v>
      </c>
      <c r="E114" s="9" t="s">
        <v>201</v>
      </c>
      <c r="F114" s="10" t="s">
        <v>485</v>
      </c>
      <c r="G114" s="11">
        <v>10</v>
      </c>
      <c r="H114" s="12" t="s">
        <v>650</v>
      </c>
      <c r="I114" s="12" t="s">
        <v>677</v>
      </c>
      <c r="J114" s="13" t="s">
        <v>570</v>
      </c>
      <c r="K114" s="4">
        <v>4897700</v>
      </c>
      <c r="L114" s="11" t="s">
        <v>481</v>
      </c>
      <c r="M114" s="11" t="s">
        <v>547</v>
      </c>
      <c r="N114" s="22"/>
      <c r="O114" s="14" t="s">
        <v>596</v>
      </c>
      <c r="P114" s="14" t="str">
        <f t="shared" si="1"/>
        <v>YES</v>
      </c>
    </row>
    <row r="115" spans="1:16" s="14" customFormat="1" ht="18" customHeight="1">
      <c r="A115" s="7">
        <v>113</v>
      </c>
      <c r="B115" s="8" t="s">
        <v>504</v>
      </c>
      <c r="C115" s="15" t="s">
        <v>574</v>
      </c>
      <c r="D115" s="9" t="s">
        <v>216</v>
      </c>
      <c r="E115" s="9" t="s">
        <v>201</v>
      </c>
      <c r="F115" s="10" t="s">
        <v>505</v>
      </c>
      <c r="G115" s="11">
        <v>0</v>
      </c>
      <c r="H115" s="12" t="s">
        <v>657</v>
      </c>
      <c r="I115" s="12" t="s">
        <v>656</v>
      </c>
      <c r="J115" s="13" t="s">
        <v>570</v>
      </c>
      <c r="K115" s="4">
        <v>1431900</v>
      </c>
      <c r="L115" s="11" t="s">
        <v>486</v>
      </c>
      <c r="M115" s="11" t="s">
        <v>548</v>
      </c>
      <c r="N115" s="22"/>
      <c r="O115" s="14" t="s">
        <v>597</v>
      </c>
      <c r="P115" s="14" t="str">
        <f t="shared" si="1"/>
        <v>YES</v>
      </c>
    </row>
    <row r="116" spans="1:16" s="14" customFormat="1" ht="18" customHeight="1">
      <c r="A116" s="7">
        <v>114</v>
      </c>
      <c r="B116" s="8" t="s">
        <v>506</v>
      </c>
      <c r="C116" s="8" t="s">
        <v>233</v>
      </c>
      <c r="D116" s="9" t="s">
        <v>216</v>
      </c>
      <c r="E116" s="9" t="s">
        <v>201</v>
      </c>
      <c r="F116" s="10" t="s">
        <v>507</v>
      </c>
      <c r="G116" s="11">
        <v>0</v>
      </c>
      <c r="H116" s="12" t="s">
        <v>657</v>
      </c>
      <c r="I116" s="12" t="s">
        <v>666</v>
      </c>
      <c r="J116" s="13" t="s">
        <v>570</v>
      </c>
      <c r="K116" s="4">
        <v>5792100</v>
      </c>
      <c r="L116" s="11" t="s">
        <v>487</v>
      </c>
      <c r="M116" s="11" t="s">
        <v>549</v>
      </c>
      <c r="N116" s="22"/>
      <c r="O116" s="14" t="s">
        <v>598</v>
      </c>
      <c r="P116" s="14" t="str">
        <f t="shared" si="1"/>
        <v>YES</v>
      </c>
    </row>
    <row r="117" spans="1:16" s="14" customFormat="1" ht="18" customHeight="1">
      <c r="A117" s="7">
        <v>115</v>
      </c>
      <c r="B117" s="8" t="s">
        <v>508</v>
      </c>
      <c r="C117" s="8" t="s">
        <v>573</v>
      </c>
      <c r="D117" s="9" t="s">
        <v>216</v>
      </c>
      <c r="E117" s="9" t="s">
        <v>201</v>
      </c>
      <c r="F117" s="10" t="s">
        <v>509</v>
      </c>
      <c r="G117" s="11">
        <v>0</v>
      </c>
      <c r="H117" s="12" t="s">
        <v>657</v>
      </c>
      <c r="I117" s="12" t="s">
        <v>657</v>
      </c>
      <c r="J117" s="13" t="s">
        <v>570</v>
      </c>
      <c r="K117" s="4">
        <v>738525</v>
      </c>
      <c r="L117" s="11" t="s">
        <v>488</v>
      </c>
      <c r="M117" s="11" t="s">
        <v>550</v>
      </c>
      <c r="N117" s="22"/>
      <c r="O117" s="14" t="s">
        <v>599</v>
      </c>
      <c r="P117" s="14" t="str">
        <f t="shared" si="1"/>
        <v>YES</v>
      </c>
    </row>
    <row r="118" spans="1:16" s="14" customFormat="1" ht="18" customHeight="1">
      <c r="A118" s="7">
        <v>116</v>
      </c>
      <c r="B118" s="8" t="s">
        <v>510</v>
      </c>
      <c r="C118" s="8" t="s">
        <v>233</v>
      </c>
      <c r="D118" s="9" t="s">
        <v>216</v>
      </c>
      <c r="E118" s="9" t="s">
        <v>201</v>
      </c>
      <c r="F118" s="10" t="s">
        <v>511</v>
      </c>
      <c r="G118" s="11">
        <v>0</v>
      </c>
      <c r="H118" s="12" t="s">
        <v>657</v>
      </c>
      <c r="I118" s="12" t="s">
        <v>666</v>
      </c>
      <c r="J118" s="13" t="s">
        <v>570</v>
      </c>
      <c r="K118" s="4">
        <v>5792100</v>
      </c>
      <c r="L118" s="11" t="s">
        <v>489</v>
      </c>
      <c r="M118" s="11" t="s">
        <v>551</v>
      </c>
      <c r="N118" s="22"/>
      <c r="O118" s="14" t="s">
        <v>600</v>
      </c>
      <c r="P118" s="14" t="str">
        <f t="shared" si="1"/>
        <v>YES</v>
      </c>
    </row>
    <row r="119" spans="1:16" s="14" customFormat="1" ht="18" customHeight="1">
      <c r="A119" s="7">
        <v>117</v>
      </c>
      <c r="B119" s="8" t="s">
        <v>512</v>
      </c>
      <c r="C119" s="15" t="s">
        <v>574</v>
      </c>
      <c r="D119" s="9" t="s">
        <v>216</v>
      </c>
      <c r="E119" s="9" t="s">
        <v>201</v>
      </c>
      <c r="F119" s="10" t="s">
        <v>513</v>
      </c>
      <c r="G119" s="11">
        <v>0</v>
      </c>
      <c r="H119" s="12" t="s">
        <v>656</v>
      </c>
      <c r="I119" s="12" t="s">
        <v>655</v>
      </c>
      <c r="J119" s="13" t="s">
        <v>570</v>
      </c>
      <c r="K119" s="4">
        <v>1431900</v>
      </c>
      <c r="L119" s="11" t="s">
        <v>490</v>
      </c>
      <c r="M119" s="11" t="s">
        <v>552</v>
      </c>
      <c r="N119" s="22"/>
      <c r="O119" s="14" t="s">
        <v>601</v>
      </c>
      <c r="P119" s="14" t="str">
        <f t="shared" si="1"/>
        <v>YES</v>
      </c>
    </row>
    <row r="120" spans="1:16" s="14" customFormat="1" ht="18" customHeight="1">
      <c r="A120" s="7">
        <v>118</v>
      </c>
      <c r="B120" s="8" t="s">
        <v>514</v>
      </c>
      <c r="C120" s="8" t="s">
        <v>233</v>
      </c>
      <c r="D120" s="9" t="s">
        <v>216</v>
      </c>
      <c r="E120" s="9" t="s">
        <v>201</v>
      </c>
      <c r="F120" s="10" t="s">
        <v>515</v>
      </c>
      <c r="G120" s="11">
        <v>0</v>
      </c>
      <c r="H120" s="12" t="s">
        <v>656</v>
      </c>
      <c r="I120" s="12" t="s">
        <v>676</v>
      </c>
      <c r="J120" s="13" t="s">
        <v>570</v>
      </c>
      <c r="K120" s="4">
        <v>4708500</v>
      </c>
      <c r="L120" s="11" t="s">
        <v>491</v>
      </c>
      <c r="M120" s="11" t="s">
        <v>553</v>
      </c>
      <c r="N120" s="22"/>
      <c r="O120" s="14" t="s">
        <v>602</v>
      </c>
      <c r="P120" s="14" t="str">
        <f t="shared" si="1"/>
        <v>YES</v>
      </c>
    </row>
    <row r="121" spans="1:16" s="14" customFormat="1" ht="18" customHeight="1">
      <c r="A121" s="7">
        <v>119</v>
      </c>
      <c r="B121" s="8" t="s">
        <v>516</v>
      </c>
      <c r="C121" s="8" t="s">
        <v>573</v>
      </c>
      <c r="D121" s="9" t="s">
        <v>216</v>
      </c>
      <c r="E121" s="9" t="s">
        <v>201</v>
      </c>
      <c r="F121" s="10" t="s">
        <v>517</v>
      </c>
      <c r="G121" s="11">
        <v>0</v>
      </c>
      <c r="H121" s="12" t="s">
        <v>656</v>
      </c>
      <c r="I121" s="12" t="s">
        <v>655</v>
      </c>
      <c r="J121" s="13" t="s">
        <v>570</v>
      </c>
      <c r="K121" s="4">
        <v>799800</v>
      </c>
      <c r="L121" s="11" t="s">
        <v>492</v>
      </c>
      <c r="M121" s="11" t="s">
        <v>554</v>
      </c>
      <c r="N121" s="22"/>
      <c r="O121" s="14" t="s">
        <v>603</v>
      </c>
      <c r="P121" s="14" t="str">
        <f t="shared" si="1"/>
        <v>YES</v>
      </c>
    </row>
    <row r="122" spans="1:16" s="14" customFormat="1" ht="18" customHeight="1">
      <c r="A122" s="7">
        <v>120</v>
      </c>
      <c r="B122" s="8" t="s">
        <v>518</v>
      </c>
      <c r="C122" s="8" t="s">
        <v>233</v>
      </c>
      <c r="D122" s="9" t="s">
        <v>216</v>
      </c>
      <c r="E122" s="9" t="s">
        <v>201</v>
      </c>
      <c r="F122" s="10" t="s">
        <v>519</v>
      </c>
      <c r="G122" s="11">
        <v>0</v>
      </c>
      <c r="H122" s="12" t="s">
        <v>665</v>
      </c>
      <c r="I122" s="12" t="s">
        <v>669</v>
      </c>
      <c r="J122" s="13" t="s">
        <v>570</v>
      </c>
      <c r="K122" s="4">
        <v>3594800</v>
      </c>
      <c r="L122" s="11" t="s">
        <v>493</v>
      </c>
      <c r="M122" s="11" t="s">
        <v>555</v>
      </c>
      <c r="N122" s="22"/>
      <c r="O122" s="14" t="s">
        <v>604</v>
      </c>
      <c r="P122" s="14" t="str">
        <f t="shared" si="1"/>
        <v>YES</v>
      </c>
    </row>
    <row r="123" spans="1:16" s="14" customFormat="1" ht="18" customHeight="1">
      <c r="A123" s="7">
        <v>121</v>
      </c>
      <c r="B123" s="8" t="s">
        <v>520</v>
      </c>
      <c r="C123" s="8" t="s">
        <v>233</v>
      </c>
      <c r="D123" s="9" t="s">
        <v>216</v>
      </c>
      <c r="E123" s="9" t="s">
        <v>201</v>
      </c>
      <c r="F123" s="10" t="s">
        <v>521</v>
      </c>
      <c r="G123" s="11">
        <v>0</v>
      </c>
      <c r="H123" s="12" t="s">
        <v>666</v>
      </c>
      <c r="I123" s="12" t="s">
        <v>678</v>
      </c>
      <c r="J123" s="13" t="s">
        <v>570</v>
      </c>
      <c r="K123" s="4">
        <v>5571725</v>
      </c>
      <c r="L123" s="11" t="s">
        <v>494</v>
      </c>
      <c r="M123" s="11" t="s">
        <v>556</v>
      </c>
      <c r="N123" s="22"/>
      <c r="O123" s="14" t="s">
        <v>605</v>
      </c>
      <c r="P123" s="14" t="str">
        <f t="shared" si="1"/>
        <v>YES</v>
      </c>
    </row>
    <row r="124" spans="1:16" s="14" customFormat="1" ht="18" customHeight="1">
      <c r="A124" s="7">
        <v>122</v>
      </c>
      <c r="B124" s="8" t="s">
        <v>522</v>
      </c>
      <c r="C124" s="8" t="s">
        <v>233</v>
      </c>
      <c r="D124" s="9" t="s">
        <v>216</v>
      </c>
      <c r="E124" s="9" t="s">
        <v>201</v>
      </c>
      <c r="F124" s="10" t="s">
        <v>523</v>
      </c>
      <c r="G124" s="11">
        <v>0</v>
      </c>
      <c r="H124" s="12" t="s">
        <v>666</v>
      </c>
      <c r="I124" s="12" t="s">
        <v>678</v>
      </c>
      <c r="J124" s="13" t="s">
        <v>570</v>
      </c>
      <c r="K124" s="4">
        <v>4555850</v>
      </c>
      <c r="L124" s="11" t="s">
        <v>495</v>
      </c>
      <c r="M124" s="11" t="s">
        <v>557</v>
      </c>
      <c r="N124" s="22"/>
      <c r="O124" s="14" t="s">
        <v>606</v>
      </c>
      <c r="P124" s="14" t="str">
        <f t="shared" si="1"/>
        <v>YES</v>
      </c>
    </row>
    <row r="125" spans="1:16" s="14" customFormat="1" ht="18" customHeight="1">
      <c r="A125" s="7">
        <v>123</v>
      </c>
      <c r="B125" s="8" t="s">
        <v>524</v>
      </c>
      <c r="C125" s="8" t="s">
        <v>573</v>
      </c>
      <c r="D125" s="9" t="s">
        <v>216</v>
      </c>
      <c r="E125" s="9" t="s">
        <v>201</v>
      </c>
      <c r="F125" s="10" t="s">
        <v>525</v>
      </c>
      <c r="G125" s="11">
        <v>0</v>
      </c>
      <c r="H125" s="12" t="s">
        <v>667</v>
      </c>
      <c r="I125" s="12" t="s">
        <v>679</v>
      </c>
      <c r="J125" s="13" t="s">
        <v>570</v>
      </c>
      <c r="K125" s="4">
        <v>1054575</v>
      </c>
      <c r="L125" s="11" t="s">
        <v>496</v>
      </c>
      <c r="M125" s="11" t="s">
        <v>558</v>
      </c>
      <c r="N125" s="22"/>
      <c r="O125" s="14" t="s">
        <v>607</v>
      </c>
      <c r="P125" s="14" t="str">
        <f t="shared" si="1"/>
        <v>YES</v>
      </c>
    </row>
    <row r="126" spans="1:16" s="14" customFormat="1" ht="18" customHeight="1">
      <c r="A126" s="7">
        <v>124</v>
      </c>
      <c r="B126" s="8" t="s">
        <v>526</v>
      </c>
      <c r="C126" s="8" t="s">
        <v>233</v>
      </c>
      <c r="D126" s="9" t="s">
        <v>216</v>
      </c>
      <c r="E126" s="9" t="s">
        <v>201</v>
      </c>
      <c r="F126" s="10" t="s">
        <v>527</v>
      </c>
      <c r="G126" s="11">
        <v>0</v>
      </c>
      <c r="H126" s="12" t="s">
        <v>668</v>
      </c>
      <c r="I126" s="12" t="s">
        <v>678</v>
      </c>
      <c r="J126" s="13" t="s">
        <v>570</v>
      </c>
      <c r="K126" s="4">
        <v>5571725</v>
      </c>
      <c r="L126" s="11" t="s">
        <v>497</v>
      </c>
      <c r="M126" s="11" t="s">
        <v>559</v>
      </c>
      <c r="N126" s="22"/>
      <c r="O126" s="14" t="s">
        <v>608</v>
      </c>
      <c r="P126" s="14" t="str">
        <f t="shared" si="1"/>
        <v>YES</v>
      </c>
    </row>
    <row r="127" spans="1:16" s="14" customFormat="1" ht="18" customHeight="1">
      <c r="A127" s="7">
        <v>125</v>
      </c>
      <c r="B127" s="8" t="s">
        <v>528</v>
      </c>
      <c r="C127" s="8" t="s">
        <v>573</v>
      </c>
      <c r="D127" s="9" t="s">
        <v>216</v>
      </c>
      <c r="E127" s="9" t="s">
        <v>201</v>
      </c>
      <c r="F127" s="10" t="s">
        <v>529</v>
      </c>
      <c r="G127" s="11">
        <v>0</v>
      </c>
      <c r="H127" s="12" t="s">
        <v>645</v>
      </c>
      <c r="I127" s="12" t="s">
        <v>667</v>
      </c>
      <c r="J127" s="13" t="s">
        <v>570</v>
      </c>
      <c r="K127" s="4">
        <v>1054575</v>
      </c>
      <c r="L127" s="11" t="s">
        <v>498</v>
      </c>
      <c r="M127" s="11" t="s">
        <v>560</v>
      </c>
      <c r="N127" s="22"/>
      <c r="O127" s="14" t="s">
        <v>609</v>
      </c>
      <c r="P127" s="14" t="str">
        <f t="shared" si="1"/>
        <v>YES</v>
      </c>
    </row>
    <row r="128" spans="1:16" s="14" customFormat="1" ht="18" customHeight="1">
      <c r="A128" s="7">
        <v>126</v>
      </c>
      <c r="B128" s="8" t="s">
        <v>530</v>
      </c>
      <c r="C128" s="8" t="s">
        <v>573</v>
      </c>
      <c r="D128" s="9" t="s">
        <v>216</v>
      </c>
      <c r="E128" s="9" t="s">
        <v>201</v>
      </c>
      <c r="F128" s="10" t="s">
        <v>531</v>
      </c>
      <c r="G128" s="11">
        <v>0</v>
      </c>
      <c r="H128" s="12" t="s">
        <v>655</v>
      </c>
      <c r="I128" s="12" t="s">
        <v>644</v>
      </c>
      <c r="J128" s="13" t="s">
        <v>570</v>
      </c>
      <c r="K128" s="4">
        <v>3008925</v>
      </c>
      <c r="L128" s="11" t="s">
        <v>499</v>
      </c>
      <c r="M128" s="11" t="s">
        <v>561</v>
      </c>
      <c r="N128" s="22"/>
      <c r="O128" s="14" t="s">
        <v>610</v>
      </c>
      <c r="P128" s="14" t="str">
        <f t="shared" si="1"/>
        <v>YES</v>
      </c>
    </row>
    <row r="129" spans="1:16" s="14" customFormat="1" ht="18" customHeight="1">
      <c r="A129" s="7">
        <v>127</v>
      </c>
      <c r="B129" s="8" t="s">
        <v>532</v>
      </c>
      <c r="C129" s="8" t="s">
        <v>233</v>
      </c>
      <c r="D129" s="9" t="s">
        <v>216</v>
      </c>
      <c r="E129" s="9" t="s">
        <v>201</v>
      </c>
      <c r="F129" s="10" t="s">
        <v>533</v>
      </c>
      <c r="G129" s="11">
        <v>0</v>
      </c>
      <c r="H129" s="12" t="s">
        <v>663</v>
      </c>
      <c r="I129" s="12" t="s">
        <v>676</v>
      </c>
      <c r="J129" s="13" t="s">
        <v>570</v>
      </c>
      <c r="K129" s="4">
        <v>5792100</v>
      </c>
      <c r="L129" s="11" t="s">
        <v>500</v>
      </c>
      <c r="M129" s="11" t="s">
        <v>562</v>
      </c>
      <c r="N129" s="22"/>
      <c r="O129" s="14" t="s">
        <v>611</v>
      </c>
      <c r="P129" s="14" t="str">
        <f t="shared" si="1"/>
        <v>YES</v>
      </c>
    </row>
    <row r="130" spans="1:16" s="14" customFormat="1" ht="18" customHeight="1">
      <c r="A130" s="7">
        <v>128</v>
      </c>
      <c r="B130" s="8" t="s">
        <v>534</v>
      </c>
      <c r="C130" s="8" t="s">
        <v>574</v>
      </c>
      <c r="D130" s="9" t="s">
        <v>216</v>
      </c>
      <c r="E130" s="9" t="s">
        <v>201</v>
      </c>
      <c r="F130" s="10" t="s">
        <v>535</v>
      </c>
      <c r="G130" s="11">
        <v>0</v>
      </c>
      <c r="H130" s="12" t="s">
        <v>644</v>
      </c>
      <c r="I130" s="12" t="s">
        <v>645</v>
      </c>
      <c r="J130" s="13" t="s">
        <v>570</v>
      </c>
      <c r="K130" s="4">
        <v>793350</v>
      </c>
      <c r="L130" s="11" t="s">
        <v>501</v>
      </c>
      <c r="M130" s="11" t="s">
        <v>563</v>
      </c>
      <c r="N130" s="22"/>
      <c r="O130" s="14" t="s">
        <v>612</v>
      </c>
      <c r="P130" s="14" t="str">
        <f t="shared" si="1"/>
        <v>YES</v>
      </c>
    </row>
    <row r="131" spans="1:16" s="14" customFormat="1" ht="18" customHeight="1">
      <c r="A131" s="7">
        <v>129</v>
      </c>
      <c r="B131" s="8" t="s">
        <v>536</v>
      </c>
      <c r="C131" s="8" t="s">
        <v>233</v>
      </c>
      <c r="D131" s="9" t="s">
        <v>216</v>
      </c>
      <c r="E131" s="9" t="s">
        <v>201</v>
      </c>
      <c r="F131" s="10" t="s">
        <v>537</v>
      </c>
      <c r="G131" s="11">
        <v>0</v>
      </c>
      <c r="H131" s="12" t="s">
        <v>655</v>
      </c>
      <c r="I131" s="12" t="s">
        <v>669</v>
      </c>
      <c r="J131" s="13" t="s">
        <v>570</v>
      </c>
      <c r="K131" s="4">
        <v>5792100</v>
      </c>
      <c r="L131" s="11" t="s">
        <v>502</v>
      </c>
      <c r="M131" s="11" t="s">
        <v>564</v>
      </c>
      <c r="N131" s="22"/>
      <c r="O131" s="14" t="s">
        <v>613</v>
      </c>
      <c r="P131" s="14" t="str">
        <f t="shared" si="1"/>
        <v>YES</v>
      </c>
    </row>
    <row r="132" spans="1:16" s="14" customFormat="1" ht="18" customHeight="1">
      <c r="A132" s="7">
        <v>130</v>
      </c>
      <c r="B132" s="8" t="s">
        <v>538</v>
      </c>
      <c r="C132" s="8" t="s">
        <v>573</v>
      </c>
      <c r="D132" s="9" t="s">
        <v>216</v>
      </c>
      <c r="E132" s="9" t="s">
        <v>201</v>
      </c>
      <c r="F132" s="10" t="s">
        <v>539</v>
      </c>
      <c r="G132" s="11">
        <v>0</v>
      </c>
      <c r="H132" s="12" t="s">
        <v>644</v>
      </c>
      <c r="I132" s="12" t="s">
        <v>645</v>
      </c>
      <c r="J132" s="13" t="s">
        <v>570</v>
      </c>
      <c r="K132" s="4">
        <v>1421150</v>
      </c>
      <c r="L132" s="11" t="s">
        <v>503</v>
      </c>
      <c r="M132" s="11" t="s">
        <v>565</v>
      </c>
      <c r="N132" s="22"/>
      <c r="O132" s="14" t="s">
        <v>614</v>
      </c>
      <c r="P132" s="14" t="str">
        <f t="shared" ref="P132:P137" si="2">IF(O132=B132,"YES","XXXXX")</f>
        <v>YES</v>
      </c>
    </row>
    <row r="133" spans="1:16" s="14" customFormat="1" ht="18" customHeight="1">
      <c r="A133" s="7">
        <v>131</v>
      </c>
      <c r="B133" s="8" t="s">
        <v>567</v>
      </c>
      <c r="C133" s="8" t="s">
        <v>233</v>
      </c>
      <c r="D133" s="9" t="s">
        <v>216</v>
      </c>
      <c r="E133" s="9" t="s">
        <v>202</v>
      </c>
      <c r="F133" s="10" t="s">
        <v>566</v>
      </c>
      <c r="G133" s="11">
        <v>0</v>
      </c>
      <c r="H133" s="12" t="s">
        <v>668</v>
      </c>
      <c r="I133" s="12" t="s">
        <v>676</v>
      </c>
      <c r="J133" s="13" t="s">
        <v>570</v>
      </c>
      <c r="K133" s="4">
        <v>3450750</v>
      </c>
      <c r="L133" s="11" t="s">
        <v>568</v>
      </c>
      <c r="M133" s="11"/>
      <c r="N133" s="22"/>
      <c r="O133" s="14" t="s">
        <v>615</v>
      </c>
      <c r="P133" s="14" t="str">
        <f t="shared" si="2"/>
        <v>YES</v>
      </c>
    </row>
    <row r="134" spans="1:16" s="14" customFormat="1" ht="18" customHeight="1">
      <c r="A134" s="7">
        <v>132</v>
      </c>
      <c r="B134" s="8" t="s">
        <v>577</v>
      </c>
      <c r="C134" s="8" t="s">
        <v>574</v>
      </c>
      <c r="D134" s="9" t="s">
        <v>216</v>
      </c>
      <c r="E134" s="9" t="s">
        <v>201</v>
      </c>
      <c r="F134" s="10" t="s">
        <v>575</v>
      </c>
      <c r="G134" s="11" t="s">
        <v>542</v>
      </c>
      <c r="H134" s="12" t="s">
        <v>641</v>
      </c>
      <c r="I134" s="12" t="s">
        <v>654</v>
      </c>
      <c r="J134" s="13" t="s">
        <v>571</v>
      </c>
      <c r="K134" s="4">
        <v>885800</v>
      </c>
      <c r="L134" s="11" t="s">
        <v>576</v>
      </c>
      <c r="M134" s="11"/>
      <c r="N134" s="22"/>
      <c r="O134" s="14" t="s">
        <v>616</v>
      </c>
      <c r="P134" s="14" t="str">
        <f t="shared" si="2"/>
        <v>YES</v>
      </c>
    </row>
    <row r="135" spans="1:16" s="14" customFormat="1" ht="18" customHeight="1">
      <c r="A135" s="7">
        <v>133</v>
      </c>
      <c r="B135" s="8" t="s">
        <v>578</v>
      </c>
      <c r="C135" s="8" t="s">
        <v>484</v>
      </c>
      <c r="D135" s="9" t="s">
        <v>216</v>
      </c>
      <c r="E135" s="9" t="s">
        <v>201</v>
      </c>
      <c r="F135" s="10" t="s">
        <v>579</v>
      </c>
      <c r="G135" s="11" t="s">
        <v>584</v>
      </c>
      <c r="H135" s="12" t="s">
        <v>644</v>
      </c>
      <c r="I135" s="12" t="s">
        <v>680</v>
      </c>
      <c r="J135" s="13" t="s">
        <v>570</v>
      </c>
      <c r="K135" s="4">
        <v>4897700</v>
      </c>
      <c r="L135" s="11" t="s">
        <v>587</v>
      </c>
      <c r="M135" s="11"/>
      <c r="N135" s="22"/>
      <c r="O135" s="14" t="s">
        <v>617</v>
      </c>
      <c r="P135" s="14" t="str">
        <f t="shared" si="2"/>
        <v>YES</v>
      </c>
    </row>
    <row r="136" spans="1:16" s="14" customFormat="1" ht="18" customHeight="1">
      <c r="A136" s="7">
        <v>134</v>
      </c>
      <c r="B136" s="8" t="s">
        <v>580</v>
      </c>
      <c r="C136" s="8" t="s">
        <v>233</v>
      </c>
      <c r="D136" s="9" t="s">
        <v>216</v>
      </c>
      <c r="E136" s="9" t="s">
        <v>201</v>
      </c>
      <c r="F136" s="10" t="s">
        <v>581</v>
      </c>
      <c r="G136" s="11" t="s">
        <v>584</v>
      </c>
      <c r="H136" s="12" t="s">
        <v>665</v>
      </c>
      <c r="I136" s="12" t="s">
        <v>669</v>
      </c>
      <c r="J136" s="13" t="s">
        <v>570</v>
      </c>
      <c r="K136" s="4">
        <v>3594800</v>
      </c>
      <c r="L136" s="11" t="s">
        <v>588</v>
      </c>
      <c r="M136" s="11"/>
      <c r="N136" s="22"/>
      <c r="O136" s="14" t="s">
        <v>618</v>
      </c>
      <c r="P136" s="14" t="str">
        <f t="shared" si="2"/>
        <v>YES</v>
      </c>
    </row>
    <row r="137" spans="1:16" s="14" customFormat="1" ht="18" customHeight="1">
      <c r="A137" s="7">
        <v>135</v>
      </c>
      <c r="B137" s="8" t="s">
        <v>582</v>
      </c>
      <c r="C137" s="8" t="s">
        <v>586</v>
      </c>
      <c r="D137" s="9" t="s">
        <v>219</v>
      </c>
      <c r="E137" s="9" t="s">
        <v>201</v>
      </c>
      <c r="F137" s="10" t="s">
        <v>583</v>
      </c>
      <c r="G137" s="11" t="s">
        <v>584</v>
      </c>
      <c r="H137" s="12" t="s">
        <v>669</v>
      </c>
      <c r="I137" s="12">
        <v>46003</v>
      </c>
      <c r="J137" s="13" t="s">
        <v>570</v>
      </c>
      <c r="K137" s="4">
        <v>1510375</v>
      </c>
      <c r="L137" s="11" t="s">
        <v>589</v>
      </c>
      <c r="M137" s="11"/>
      <c r="N137" s="22"/>
      <c r="O137" s="14" t="s">
        <v>619</v>
      </c>
      <c r="P137" s="14" t="str">
        <f t="shared" si="2"/>
        <v>YES</v>
      </c>
    </row>
  </sheetData>
  <mergeCells count="12">
    <mergeCell ref="M1:M2"/>
    <mergeCell ref="C1:C2"/>
    <mergeCell ref="E1:E2"/>
    <mergeCell ref="A1:A2"/>
    <mergeCell ref="B1:B2"/>
    <mergeCell ref="F1:F2"/>
    <mergeCell ref="H1:I1"/>
    <mergeCell ref="L1:L2"/>
    <mergeCell ref="D1:D2"/>
    <mergeCell ref="K1:K2"/>
    <mergeCell ref="G1:G2"/>
    <mergeCell ref="J1:J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5205B-793B-4B1A-835C-20080D6C3550}">
  <dimension ref="A1:C403"/>
  <sheetViews>
    <sheetView topLeftCell="B1" zoomScale="115" zoomScaleNormal="115" workbookViewId="0">
      <selection activeCell="B13" sqref="B13"/>
    </sheetView>
  </sheetViews>
  <sheetFormatPr defaultColWidth="9" defaultRowHeight="19.2"/>
  <cols>
    <col min="1" max="1" width="9" style="2"/>
    <col min="2" max="2" width="68.59765625" style="2" bestFit="1" customWidth="1"/>
    <col min="3" max="3" width="12.69921875" style="2" bestFit="1" customWidth="1"/>
    <col min="4" max="16384" width="9" style="2"/>
  </cols>
  <sheetData>
    <row r="1" spans="1:3">
      <c r="A1" s="16" t="s">
        <v>293</v>
      </c>
      <c r="B1" s="16" t="s">
        <v>294</v>
      </c>
      <c r="C1" s="16" t="s">
        <v>295</v>
      </c>
    </row>
    <row r="2" spans="1:3">
      <c r="A2" s="16"/>
      <c r="B2" s="16"/>
      <c r="C2" s="16"/>
    </row>
    <row r="3" spans="1:3">
      <c r="A3" s="2">
        <v>1</v>
      </c>
      <c r="B3" s="2" t="s">
        <v>429</v>
      </c>
      <c r="C3" s="3">
        <v>45905</v>
      </c>
    </row>
    <row r="4" spans="1:3">
      <c r="A4" s="2">
        <v>2</v>
      </c>
      <c r="B4" s="2" t="s">
        <v>241</v>
      </c>
      <c r="C4" s="3">
        <v>45950</v>
      </c>
    </row>
    <row r="5" spans="1:3">
      <c r="A5" s="2">
        <v>3</v>
      </c>
      <c r="B5" s="2" t="s">
        <v>291</v>
      </c>
      <c r="C5" s="3">
        <v>45959</v>
      </c>
    </row>
    <row r="6" spans="1:3">
      <c r="A6" s="2">
        <v>4</v>
      </c>
      <c r="B6" s="2" t="s">
        <v>225</v>
      </c>
      <c r="C6" s="3">
        <v>45968</v>
      </c>
    </row>
    <row r="7" spans="1:3">
      <c r="A7" s="2">
        <v>5</v>
      </c>
      <c r="B7" s="2" t="s">
        <v>239</v>
      </c>
      <c r="C7" s="3">
        <v>45969</v>
      </c>
    </row>
    <row r="8" spans="1:3">
      <c r="A8" s="2">
        <v>6</v>
      </c>
      <c r="B8" s="2" t="s">
        <v>432</v>
      </c>
      <c r="C8" s="3">
        <v>45971</v>
      </c>
    </row>
    <row r="9" spans="1:3">
      <c r="A9" s="2">
        <v>7</v>
      </c>
      <c r="B9" s="2" t="s">
        <v>438</v>
      </c>
      <c r="C9" s="3">
        <v>45975</v>
      </c>
    </row>
    <row r="10" spans="1:3">
      <c r="A10" s="2">
        <v>8</v>
      </c>
      <c r="B10" s="2" t="s">
        <v>289</v>
      </c>
      <c r="C10" s="3">
        <v>45975</v>
      </c>
    </row>
    <row r="11" spans="1:3">
      <c r="A11" s="2">
        <v>9</v>
      </c>
      <c r="B11" s="2" t="s">
        <v>437</v>
      </c>
      <c r="C11" s="3">
        <v>45979</v>
      </c>
    </row>
    <row r="12" spans="1:3">
      <c r="A12" s="2">
        <v>10</v>
      </c>
      <c r="B12" s="2" t="s">
        <v>448</v>
      </c>
      <c r="C12" s="3">
        <v>45980</v>
      </c>
    </row>
    <row r="13" spans="1:3">
      <c r="A13" s="2">
        <v>11</v>
      </c>
      <c r="B13" s="2" t="s">
        <v>449</v>
      </c>
      <c r="C13" s="3">
        <v>46024</v>
      </c>
    </row>
    <row r="14" spans="1:3">
      <c r="A14" s="2">
        <v>12</v>
      </c>
      <c r="B14" s="2" t="s">
        <v>540</v>
      </c>
      <c r="C14" s="3">
        <v>46021</v>
      </c>
    </row>
    <row r="15" spans="1:3">
      <c r="A15" s="2">
        <v>13</v>
      </c>
      <c r="B15" s="2" t="s">
        <v>285</v>
      </c>
      <c r="C15" s="3">
        <v>45992</v>
      </c>
    </row>
    <row r="16" spans="1:3">
      <c r="A16" s="2">
        <v>14</v>
      </c>
      <c r="B16" s="2" t="s">
        <v>287</v>
      </c>
      <c r="C16" s="3">
        <v>45993</v>
      </c>
    </row>
    <row r="17" spans="1:3">
      <c r="A17" s="2">
        <v>15</v>
      </c>
      <c r="B17" s="2" t="s">
        <v>292</v>
      </c>
      <c r="C17" s="3">
        <v>46000</v>
      </c>
    </row>
    <row r="18" spans="1:3">
      <c r="A18" s="2">
        <v>16</v>
      </c>
      <c r="B18" s="2" t="s">
        <v>543</v>
      </c>
      <c r="C18" s="3">
        <v>45992</v>
      </c>
    </row>
    <row r="19" spans="1:3">
      <c r="C19" s="3"/>
    </row>
    <row r="20" spans="1:3">
      <c r="C20" s="3"/>
    </row>
    <row r="21" spans="1:3">
      <c r="C21" s="3"/>
    </row>
    <row r="22" spans="1:3">
      <c r="C22" s="3"/>
    </row>
    <row r="23" spans="1:3">
      <c r="C23" s="3"/>
    </row>
    <row r="24" spans="1:3">
      <c r="C24" s="3"/>
    </row>
    <row r="25" spans="1:3">
      <c r="C25" s="3"/>
    </row>
    <row r="26" spans="1:3">
      <c r="C26" s="3"/>
    </row>
    <row r="27" spans="1:3">
      <c r="C27" s="3"/>
    </row>
    <row r="28" spans="1:3">
      <c r="C28" s="3"/>
    </row>
    <row r="29" spans="1:3">
      <c r="C29" s="3"/>
    </row>
    <row r="30" spans="1:3">
      <c r="C30" s="3"/>
    </row>
    <row r="31" spans="1:3">
      <c r="C31" s="3"/>
    </row>
    <row r="32" spans="1:3">
      <c r="C32" s="3"/>
    </row>
    <row r="33" spans="3:3">
      <c r="C33" s="3"/>
    </row>
    <row r="34" spans="3:3">
      <c r="C34" s="3"/>
    </row>
    <row r="35" spans="3:3">
      <c r="C35" s="3"/>
    </row>
    <row r="36" spans="3:3">
      <c r="C36" s="3"/>
    </row>
    <row r="37" spans="3:3">
      <c r="C37" s="3"/>
    </row>
    <row r="38" spans="3:3">
      <c r="C38" s="3"/>
    </row>
    <row r="39" spans="3:3">
      <c r="C39" s="3"/>
    </row>
    <row r="40" spans="3:3">
      <c r="C40" s="3"/>
    </row>
    <row r="41" spans="3:3">
      <c r="C41" s="3"/>
    </row>
    <row r="42" spans="3:3">
      <c r="C42" s="3"/>
    </row>
    <row r="43" spans="3:3">
      <c r="C43" s="3"/>
    </row>
    <row r="44" spans="3:3">
      <c r="C44" s="3"/>
    </row>
    <row r="45" spans="3:3">
      <c r="C45" s="3"/>
    </row>
    <row r="46" spans="3:3">
      <c r="C46" s="3"/>
    </row>
    <row r="47" spans="3:3">
      <c r="C47" s="3"/>
    </row>
    <row r="48" spans="3:3">
      <c r="C48" s="3"/>
    </row>
    <row r="49" spans="3:3">
      <c r="C49" s="3"/>
    </row>
    <row r="50" spans="3:3">
      <c r="C50" s="3"/>
    </row>
    <row r="51" spans="3:3">
      <c r="C51" s="3"/>
    </row>
    <row r="52" spans="3:3">
      <c r="C52" s="3"/>
    </row>
    <row r="53" spans="3:3">
      <c r="C53" s="3"/>
    </row>
    <row r="54" spans="3:3">
      <c r="C54" s="3"/>
    </row>
    <row r="55" spans="3:3">
      <c r="C55" s="3"/>
    </row>
    <row r="56" spans="3:3">
      <c r="C56" s="3"/>
    </row>
    <row r="57" spans="3:3">
      <c r="C57" s="3"/>
    </row>
    <row r="58" spans="3:3">
      <c r="C58" s="3"/>
    </row>
    <row r="59" spans="3:3">
      <c r="C59" s="3"/>
    </row>
    <row r="60" spans="3:3">
      <c r="C60" s="3"/>
    </row>
    <row r="61" spans="3:3">
      <c r="C61" s="3"/>
    </row>
    <row r="62" spans="3:3">
      <c r="C62" s="3"/>
    </row>
    <row r="63" spans="3:3">
      <c r="C63" s="3"/>
    </row>
    <row r="64" spans="3:3">
      <c r="C64" s="3"/>
    </row>
    <row r="65" spans="3:3">
      <c r="C65" s="3"/>
    </row>
    <row r="66" spans="3:3">
      <c r="C66" s="3"/>
    </row>
    <row r="67" spans="3:3">
      <c r="C67" s="3"/>
    </row>
    <row r="68" spans="3:3">
      <c r="C68" s="3"/>
    </row>
    <row r="69" spans="3:3">
      <c r="C69" s="3"/>
    </row>
    <row r="70" spans="3:3">
      <c r="C70" s="3"/>
    </row>
    <row r="71" spans="3:3">
      <c r="C71" s="3"/>
    </row>
    <row r="72" spans="3:3">
      <c r="C72" s="3"/>
    </row>
    <row r="73" spans="3:3">
      <c r="C73" s="3"/>
    </row>
    <row r="74" spans="3:3">
      <c r="C74" s="3"/>
    </row>
    <row r="75" spans="3:3">
      <c r="C75" s="3"/>
    </row>
    <row r="76" spans="3:3">
      <c r="C76" s="3"/>
    </row>
    <row r="77" spans="3:3">
      <c r="C77" s="3"/>
    </row>
    <row r="78" spans="3:3">
      <c r="C78" s="3"/>
    </row>
    <row r="79" spans="3:3">
      <c r="C79" s="3"/>
    </row>
    <row r="80" spans="3:3">
      <c r="C80" s="3"/>
    </row>
    <row r="81" spans="3:3">
      <c r="C81" s="3"/>
    </row>
    <row r="82" spans="3:3">
      <c r="C82" s="3"/>
    </row>
    <row r="83" spans="3:3">
      <c r="C83" s="3"/>
    </row>
    <row r="84" spans="3:3">
      <c r="C84" s="3"/>
    </row>
    <row r="85" spans="3:3">
      <c r="C85" s="3"/>
    </row>
    <row r="86" spans="3:3">
      <c r="C86" s="3"/>
    </row>
    <row r="87" spans="3:3">
      <c r="C87" s="3"/>
    </row>
    <row r="88" spans="3:3">
      <c r="C88" s="3"/>
    </row>
    <row r="89" spans="3:3">
      <c r="C89" s="3"/>
    </row>
    <row r="90" spans="3:3">
      <c r="C90" s="3"/>
    </row>
    <row r="91" spans="3:3">
      <c r="C91" s="3"/>
    </row>
    <row r="92" spans="3:3">
      <c r="C92" s="3"/>
    </row>
    <row r="93" spans="3:3">
      <c r="C93" s="3"/>
    </row>
    <row r="94" spans="3:3">
      <c r="C94" s="3"/>
    </row>
    <row r="95" spans="3:3">
      <c r="C95" s="3"/>
    </row>
    <row r="96" spans="3:3">
      <c r="C96" s="3"/>
    </row>
    <row r="97" spans="3:3">
      <c r="C97" s="3"/>
    </row>
    <row r="98" spans="3:3">
      <c r="C98" s="3"/>
    </row>
    <row r="99" spans="3:3">
      <c r="C99" s="3"/>
    </row>
    <row r="100" spans="3:3">
      <c r="C100" s="3"/>
    </row>
    <row r="101" spans="3:3">
      <c r="C101" s="3"/>
    </row>
    <row r="102" spans="3:3">
      <c r="C102" s="3"/>
    </row>
    <row r="103" spans="3:3">
      <c r="C103" s="3"/>
    </row>
    <row r="104" spans="3:3">
      <c r="C104" s="3"/>
    </row>
    <row r="105" spans="3:3">
      <c r="C105" s="3"/>
    </row>
    <row r="106" spans="3:3">
      <c r="C106" s="3"/>
    </row>
    <row r="107" spans="3:3">
      <c r="C107" s="3"/>
    </row>
    <row r="108" spans="3:3">
      <c r="C108" s="3"/>
    </row>
    <row r="109" spans="3:3">
      <c r="C109" s="3"/>
    </row>
    <row r="110" spans="3:3">
      <c r="C110" s="3"/>
    </row>
    <row r="111" spans="3:3">
      <c r="C111" s="3"/>
    </row>
    <row r="112" spans="3:3">
      <c r="C112" s="3"/>
    </row>
    <row r="113" spans="3:3">
      <c r="C113" s="3"/>
    </row>
    <row r="114" spans="3:3">
      <c r="C114" s="3"/>
    </row>
    <row r="115" spans="3:3">
      <c r="C115" s="3"/>
    </row>
    <row r="116" spans="3:3">
      <c r="C116" s="3"/>
    </row>
    <row r="117" spans="3:3">
      <c r="C117" s="3"/>
    </row>
    <row r="118" spans="3:3">
      <c r="C118" s="3"/>
    </row>
    <row r="119" spans="3:3">
      <c r="C119" s="3"/>
    </row>
    <row r="120" spans="3:3">
      <c r="C120" s="3"/>
    </row>
    <row r="121" spans="3:3">
      <c r="C121" s="3"/>
    </row>
    <row r="122" spans="3:3">
      <c r="C122" s="3"/>
    </row>
    <row r="123" spans="3:3">
      <c r="C123" s="3"/>
    </row>
    <row r="124" spans="3:3">
      <c r="C124" s="3"/>
    </row>
    <row r="125" spans="3:3">
      <c r="C125" s="3"/>
    </row>
    <row r="126" spans="3:3">
      <c r="C126" s="3"/>
    </row>
    <row r="127" spans="3:3">
      <c r="C127" s="3"/>
    </row>
    <row r="128" spans="3:3">
      <c r="C128" s="3"/>
    </row>
    <row r="129" spans="3:3">
      <c r="C129" s="3"/>
    </row>
    <row r="130" spans="3:3">
      <c r="C130" s="3"/>
    </row>
    <row r="131" spans="3:3">
      <c r="C131" s="3"/>
    </row>
    <row r="132" spans="3:3">
      <c r="C132" s="3"/>
    </row>
    <row r="133" spans="3:3">
      <c r="C133" s="3"/>
    </row>
    <row r="134" spans="3:3">
      <c r="C134" s="3"/>
    </row>
    <row r="135" spans="3:3">
      <c r="C135" s="3"/>
    </row>
    <row r="136" spans="3:3">
      <c r="C136" s="3"/>
    </row>
    <row r="137" spans="3:3">
      <c r="C137" s="3"/>
    </row>
    <row r="138" spans="3:3">
      <c r="C138" s="3"/>
    </row>
    <row r="139" spans="3:3">
      <c r="C139" s="3"/>
    </row>
    <row r="140" spans="3:3">
      <c r="C140" s="3"/>
    </row>
    <row r="141" spans="3:3">
      <c r="C141" s="3"/>
    </row>
    <row r="142" spans="3:3">
      <c r="C142" s="3"/>
    </row>
    <row r="143" spans="3:3">
      <c r="C143" s="3"/>
    </row>
    <row r="144" spans="3:3">
      <c r="C144" s="3"/>
    </row>
    <row r="145" spans="3:3">
      <c r="C145" s="3"/>
    </row>
    <row r="146" spans="3:3">
      <c r="C146" s="3"/>
    </row>
    <row r="147" spans="3:3">
      <c r="C147" s="3"/>
    </row>
    <row r="148" spans="3:3">
      <c r="C148" s="3"/>
    </row>
    <row r="149" spans="3:3">
      <c r="C149" s="3"/>
    </row>
    <row r="150" spans="3:3">
      <c r="C150" s="3"/>
    </row>
    <row r="151" spans="3:3">
      <c r="C151" s="3"/>
    </row>
    <row r="152" spans="3:3">
      <c r="C152" s="3"/>
    </row>
    <row r="153" spans="3:3">
      <c r="C153" s="3"/>
    </row>
    <row r="154" spans="3:3">
      <c r="C154" s="3"/>
    </row>
    <row r="155" spans="3:3">
      <c r="C155" s="3"/>
    </row>
    <row r="156" spans="3:3">
      <c r="C156" s="3"/>
    </row>
    <row r="157" spans="3:3">
      <c r="C157" s="3"/>
    </row>
    <row r="158" spans="3:3">
      <c r="C158" s="3"/>
    </row>
    <row r="159" spans="3:3">
      <c r="C159" s="3"/>
    </row>
    <row r="160" spans="3:3">
      <c r="C160" s="3"/>
    </row>
    <row r="161" spans="3:3">
      <c r="C161" s="3"/>
    </row>
    <row r="162" spans="3:3">
      <c r="C162" s="3"/>
    </row>
    <row r="163" spans="3:3">
      <c r="C163" s="3"/>
    </row>
    <row r="164" spans="3:3">
      <c r="C164" s="3"/>
    </row>
    <row r="165" spans="3:3">
      <c r="C165" s="3"/>
    </row>
    <row r="166" spans="3:3">
      <c r="C166" s="3"/>
    </row>
    <row r="167" spans="3:3">
      <c r="C167" s="3"/>
    </row>
    <row r="168" spans="3:3">
      <c r="C168" s="3"/>
    </row>
    <row r="169" spans="3:3">
      <c r="C169" s="3"/>
    </row>
    <row r="170" spans="3:3">
      <c r="C170" s="3"/>
    </row>
    <row r="171" spans="3:3">
      <c r="C171" s="3"/>
    </row>
    <row r="172" spans="3:3">
      <c r="C172" s="3"/>
    </row>
    <row r="173" spans="3:3">
      <c r="C173" s="3"/>
    </row>
    <row r="174" spans="3:3">
      <c r="C174" s="3"/>
    </row>
    <row r="175" spans="3:3">
      <c r="C175" s="3"/>
    </row>
    <row r="176" spans="3:3">
      <c r="C176" s="3"/>
    </row>
    <row r="177" spans="3:3">
      <c r="C177" s="3"/>
    </row>
    <row r="178" spans="3:3">
      <c r="C178" s="3"/>
    </row>
    <row r="179" spans="3:3">
      <c r="C179" s="3"/>
    </row>
    <row r="180" spans="3:3">
      <c r="C180" s="3"/>
    </row>
    <row r="181" spans="3:3">
      <c r="C181" s="3"/>
    </row>
    <row r="182" spans="3:3">
      <c r="C182" s="3"/>
    </row>
    <row r="183" spans="3:3">
      <c r="C183" s="3"/>
    </row>
    <row r="184" spans="3:3">
      <c r="C184" s="3"/>
    </row>
    <row r="185" spans="3:3">
      <c r="C185" s="3"/>
    </row>
    <row r="186" spans="3:3">
      <c r="C186" s="3"/>
    </row>
    <row r="187" spans="3:3">
      <c r="C187" s="3"/>
    </row>
    <row r="188" spans="3:3">
      <c r="C188" s="3"/>
    </row>
    <row r="189" spans="3:3">
      <c r="C189" s="3"/>
    </row>
    <row r="190" spans="3:3">
      <c r="C190" s="3"/>
    </row>
    <row r="191" spans="3:3">
      <c r="C191" s="3"/>
    </row>
    <row r="192" spans="3:3">
      <c r="C192" s="3"/>
    </row>
    <row r="193" spans="3:3">
      <c r="C193" s="3"/>
    </row>
    <row r="194" spans="3:3">
      <c r="C194" s="3"/>
    </row>
    <row r="195" spans="3:3">
      <c r="C195" s="3"/>
    </row>
    <row r="196" spans="3:3">
      <c r="C196" s="3"/>
    </row>
    <row r="197" spans="3:3">
      <c r="C197" s="3"/>
    </row>
    <row r="198" spans="3:3">
      <c r="C198" s="3"/>
    </row>
    <row r="199" spans="3:3">
      <c r="C199" s="3"/>
    </row>
    <row r="200" spans="3:3">
      <c r="C200" s="3"/>
    </row>
    <row r="201" spans="3:3">
      <c r="C201" s="3"/>
    </row>
    <row r="202" spans="3:3">
      <c r="C202" s="3"/>
    </row>
    <row r="203" spans="3:3">
      <c r="C203" s="3"/>
    </row>
    <row r="204" spans="3:3">
      <c r="C204" s="3"/>
    </row>
    <row r="205" spans="3:3">
      <c r="C205" s="3"/>
    </row>
    <row r="206" spans="3:3">
      <c r="C206" s="3"/>
    </row>
    <row r="207" spans="3:3">
      <c r="C207" s="3"/>
    </row>
    <row r="208" spans="3:3">
      <c r="C208" s="3"/>
    </row>
    <row r="209" spans="3:3">
      <c r="C209" s="3"/>
    </row>
    <row r="210" spans="3:3">
      <c r="C210" s="3"/>
    </row>
    <row r="211" spans="3:3">
      <c r="C211" s="3"/>
    </row>
    <row r="212" spans="3:3">
      <c r="C212" s="3"/>
    </row>
    <row r="213" spans="3:3">
      <c r="C213" s="3"/>
    </row>
    <row r="214" spans="3:3">
      <c r="C214" s="3"/>
    </row>
    <row r="215" spans="3:3">
      <c r="C215" s="3"/>
    </row>
    <row r="216" spans="3:3">
      <c r="C216" s="3"/>
    </row>
    <row r="217" spans="3:3">
      <c r="C217" s="3"/>
    </row>
    <row r="218" spans="3:3">
      <c r="C218" s="3"/>
    </row>
    <row r="219" spans="3:3">
      <c r="C219" s="3"/>
    </row>
    <row r="220" spans="3:3">
      <c r="C220" s="3"/>
    </row>
    <row r="221" spans="3:3">
      <c r="C221" s="3"/>
    </row>
    <row r="222" spans="3:3">
      <c r="C222" s="3"/>
    </row>
    <row r="223" spans="3:3">
      <c r="C223" s="3"/>
    </row>
    <row r="224" spans="3:3">
      <c r="C224" s="3"/>
    </row>
    <row r="225" spans="3:3">
      <c r="C225" s="3"/>
    </row>
    <row r="226" spans="3:3">
      <c r="C226" s="3"/>
    </row>
    <row r="227" spans="3:3">
      <c r="C227" s="3"/>
    </row>
    <row r="228" spans="3:3">
      <c r="C228" s="3"/>
    </row>
    <row r="229" spans="3:3">
      <c r="C229" s="3"/>
    </row>
    <row r="230" spans="3:3">
      <c r="C230" s="3"/>
    </row>
    <row r="231" spans="3:3">
      <c r="C231" s="3"/>
    </row>
    <row r="232" spans="3:3">
      <c r="C232" s="3"/>
    </row>
    <row r="233" spans="3:3">
      <c r="C233" s="3"/>
    </row>
    <row r="234" spans="3:3">
      <c r="C234" s="3"/>
    </row>
    <row r="235" spans="3:3">
      <c r="C235" s="3"/>
    </row>
    <row r="236" spans="3:3">
      <c r="C236" s="3"/>
    </row>
    <row r="237" spans="3:3">
      <c r="C237" s="3"/>
    </row>
    <row r="238" spans="3:3">
      <c r="C238" s="3"/>
    </row>
    <row r="239" spans="3:3">
      <c r="C239" s="3"/>
    </row>
    <row r="240" spans="3:3">
      <c r="C240" s="3"/>
    </row>
    <row r="241" spans="3:3">
      <c r="C241" s="3"/>
    </row>
    <row r="242" spans="3:3">
      <c r="C242" s="3"/>
    </row>
    <row r="243" spans="3:3">
      <c r="C243" s="3"/>
    </row>
    <row r="244" spans="3:3">
      <c r="C244" s="3"/>
    </row>
    <row r="245" spans="3:3">
      <c r="C245" s="3"/>
    </row>
    <row r="246" spans="3:3">
      <c r="C246" s="3"/>
    </row>
    <row r="247" spans="3:3">
      <c r="C247" s="3"/>
    </row>
    <row r="248" spans="3:3">
      <c r="C248" s="3"/>
    </row>
    <row r="249" spans="3:3">
      <c r="C249" s="3"/>
    </row>
    <row r="250" spans="3:3">
      <c r="C250" s="3"/>
    </row>
    <row r="251" spans="3:3">
      <c r="C251" s="3"/>
    </row>
    <row r="252" spans="3:3">
      <c r="C252" s="3"/>
    </row>
    <row r="253" spans="3:3">
      <c r="C253" s="3"/>
    </row>
    <row r="254" spans="3:3">
      <c r="C254" s="3"/>
    </row>
    <row r="255" spans="3:3">
      <c r="C255" s="3"/>
    </row>
    <row r="256" spans="3:3">
      <c r="C256" s="3"/>
    </row>
    <row r="257" spans="3:3">
      <c r="C257" s="3"/>
    </row>
    <row r="258" spans="3:3">
      <c r="C258" s="3"/>
    </row>
    <row r="259" spans="3:3">
      <c r="C259" s="3"/>
    </row>
    <row r="260" spans="3:3">
      <c r="C260" s="3"/>
    </row>
    <row r="261" spans="3:3">
      <c r="C261" s="3"/>
    </row>
    <row r="262" spans="3:3">
      <c r="C262" s="3"/>
    </row>
    <row r="263" spans="3:3">
      <c r="C263" s="3"/>
    </row>
    <row r="264" spans="3:3">
      <c r="C264" s="3"/>
    </row>
    <row r="265" spans="3:3">
      <c r="C265" s="3"/>
    </row>
    <row r="266" spans="3:3">
      <c r="C266" s="3"/>
    </row>
    <row r="267" spans="3:3">
      <c r="C267" s="3"/>
    </row>
    <row r="268" spans="3:3">
      <c r="C268" s="3"/>
    </row>
    <row r="269" spans="3:3">
      <c r="C269" s="3"/>
    </row>
    <row r="270" spans="3:3">
      <c r="C270" s="3"/>
    </row>
    <row r="271" spans="3:3">
      <c r="C271" s="3"/>
    </row>
    <row r="272" spans="3:3">
      <c r="C272" s="3"/>
    </row>
    <row r="273" spans="3:3">
      <c r="C273" s="3"/>
    </row>
    <row r="274" spans="3:3">
      <c r="C274" s="3"/>
    </row>
    <row r="275" spans="3:3">
      <c r="C275" s="3"/>
    </row>
    <row r="276" spans="3:3">
      <c r="C276" s="3"/>
    </row>
    <row r="277" spans="3:3">
      <c r="C277" s="3"/>
    </row>
    <row r="278" spans="3:3">
      <c r="C278" s="3"/>
    </row>
    <row r="279" spans="3:3">
      <c r="C279" s="3"/>
    </row>
    <row r="280" spans="3:3">
      <c r="C280" s="3"/>
    </row>
    <row r="281" spans="3:3">
      <c r="C281" s="3"/>
    </row>
    <row r="282" spans="3:3">
      <c r="C282" s="3"/>
    </row>
    <row r="283" spans="3:3">
      <c r="C283" s="3"/>
    </row>
    <row r="284" spans="3:3">
      <c r="C284" s="3"/>
    </row>
    <row r="285" spans="3:3">
      <c r="C285" s="3"/>
    </row>
    <row r="286" spans="3:3">
      <c r="C286" s="3"/>
    </row>
    <row r="287" spans="3:3">
      <c r="C287" s="3"/>
    </row>
    <row r="288" spans="3:3">
      <c r="C288" s="3"/>
    </row>
    <row r="289" spans="3:3">
      <c r="C289" s="3"/>
    </row>
    <row r="290" spans="3:3">
      <c r="C290" s="3"/>
    </row>
    <row r="291" spans="3:3">
      <c r="C291" s="3"/>
    </row>
    <row r="292" spans="3:3">
      <c r="C292" s="3"/>
    </row>
    <row r="293" spans="3:3">
      <c r="C293" s="3"/>
    </row>
    <row r="294" spans="3:3">
      <c r="C294" s="3"/>
    </row>
    <row r="295" spans="3:3">
      <c r="C295" s="3"/>
    </row>
    <row r="296" spans="3:3">
      <c r="C296" s="3"/>
    </row>
    <row r="297" spans="3:3">
      <c r="C297" s="3"/>
    </row>
    <row r="298" spans="3:3">
      <c r="C298" s="3"/>
    </row>
    <row r="299" spans="3:3">
      <c r="C299" s="3"/>
    </row>
    <row r="300" spans="3:3">
      <c r="C300" s="3"/>
    </row>
    <row r="301" spans="3:3">
      <c r="C301" s="3"/>
    </row>
    <row r="302" spans="3:3">
      <c r="C302" s="3"/>
    </row>
    <row r="303" spans="3:3">
      <c r="C303" s="3"/>
    </row>
    <row r="304" spans="3:3">
      <c r="C304" s="3"/>
    </row>
    <row r="305" spans="3:3">
      <c r="C305" s="3"/>
    </row>
    <row r="306" spans="3:3">
      <c r="C306" s="3"/>
    </row>
    <row r="307" spans="3:3">
      <c r="C307" s="3"/>
    </row>
    <row r="308" spans="3:3">
      <c r="C308" s="3"/>
    </row>
    <row r="309" spans="3:3">
      <c r="C309" s="3"/>
    </row>
    <row r="310" spans="3:3">
      <c r="C310" s="3"/>
    </row>
    <row r="311" spans="3:3">
      <c r="C311" s="3"/>
    </row>
    <row r="312" spans="3:3">
      <c r="C312" s="3"/>
    </row>
    <row r="313" spans="3:3">
      <c r="C313" s="3"/>
    </row>
    <row r="314" spans="3:3">
      <c r="C314" s="3"/>
    </row>
    <row r="315" spans="3:3">
      <c r="C315" s="3"/>
    </row>
    <row r="316" spans="3:3">
      <c r="C316" s="3"/>
    </row>
    <row r="317" spans="3:3">
      <c r="C317" s="3"/>
    </row>
    <row r="318" spans="3:3">
      <c r="C318" s="3"/>
    </row>
    <row r="319" spans="3:3">
      <c r="C319" s="3"/>
    </row>
    <row r="320" spans="3:3">
      <c r="C320" s="3"/>
    </row>
    <row r="321" spans="3:3">
      <c r="C321" s="3"/>
    </row>
    <row r="322" spans="3:3">
      <c r="C322" s="3"/>
    </row>
    <row r="323" spans="3:3">
      <c r="C323" s="3"/>
    </row>
    <row r="324" spans="3:3">
      <c r="C324" s="3"/>
    </row>
    <row r="325" spans="3:3">
      <c r="C325" s="3"/>
    </row>
    <row r="326" spans="3:3">
      <c r="C326" s="3"/>
    </row>
    <row r="327" spans="3:3">
      <c r="C327" s="3"/>
    </row>
    <row r="328" spans="3:3">
      <c r="C328" s="3"/>
    </row>
    <row r="329" spans="3:3">
      <c r="C329" s="3"/>
    </row>
    <row r="330" spans="3:3">
      <c r="C330" s="3"/>
    </row>
    <row r="331" spans="3:3">
      <c r="C331" s="3"/>
    </row>
    <row r="332" spans="3:3">
      <c r="C332" s="3"/>
    </row>
    <row r="333" spans="3:3">
      <c r="C333" s="3"/>
    </row>
    <row r="334" spans="3:3">
      <c r="C334" s="3"/>
    </row>
    <row r="335" spans="3:3">
      <c r="C335" s="3"/>
    </row>
    <row r="336" spans="3:3">
      <c r="C336" s="3"/>
    </row>
    <row r="337" spans="3:3">
      <c r="C337" s="3"/>
    </row>
    <row r="338" spans="3:3">
      <c r="C338" s="3"/>
    </row>
    <row r="339" spans="3:3">
      <c r="C339" s="3"/>
    </row>
    <row r="340" spans="3:3">
      <c r="C340" s="3"/>
    </row>
    <row r="341" spans="3:3">
      <c r="C341" s="3"/>
    </row>
    <row r="342" spans="3:3">
      <c r="C342" s="3"/>
    </row>
    <row r="343" spans="3:3">
      <c r="C343" s="3"/>
    </row>
    <row r="344" spans="3:3">
      <c r="C344" s="3"/>
    </row>
    <row r="345" spans="3:3">
      <c r="C345" s="3"/>
    </row>
    <row r="346" spans="3:3">
      <c r="C346" s="3"/>
    </row>
    <row r="347" spans="3:3">
      <c r="C347" s="3"/>
    </row>
    <row r="348" spans="3:3">
      <c r="C348" s="3"/>
    </row>
    <row r="349" spans="3:3">
      <c r="C349" s="3"/>
    </row>
    <row r="350" spans="3:3">
      <c r="C350" s="3"/>
    </row>
    <row r="351" spans="3:3">
      <c r="C351" s="3"/>
    </row>
    <row r="352" spans="3:3">
      <c r="C352" s="3"/>
    </row>
    <row r="353" spans="3:3">
      <c r="C353" s="3"/>
    </row>
    <row r="354" spans="3:3">
      <c r="C354" s="3"/>
    </row>
    <row r="355" spans="3:3">
      <c r="C355" s="3"/>
    </row>
    <row r="356" spans="3:3">
      <c r="C356" s="3"/>
    </row>
    <row r="357" spans="3:3">
      <c r="C357" s="3"/>
    </row>
    <row r="358" spans="3:3">
      <c r="C358" s="3"/>
    </row>
    <row r="359" spans="3:3">
      <c r="C359" s="3"/>
    </row>
    <row r="360" spans="3:3">
      <c r="C360" s="3"/>
    </row>
    <row r="361" spans="3:3">
      <c r="C361" s="3"/>
    </row>
    <row r="362" spans="3:3">
      <c r="C362" s="3"/>
    </row>
    <row r="363" spans="3:3">
      <c r="C363" s="3"/>
    </row>
    <row r="364" spans="3:3">
      <c r="C364" s="3"/>
    </row>
    <row r="365" spans="3:3">
      <c r="C365" s="3"/>
    </row>
    <row r="366" spans="3:3">
      <c r="C366" s="3"/>
    </row>
    <row r="367" spans="3:3">
      <c r="C367" s="3"/>
    </row>
    <row r="368" spans="3:3">
      <c r="C368" s="3"/>
    </row>
    <row r="369" spans="3:3">
      <c r="C369" s="3"/>
    </row>
    <row r="370" spans="3:3">
      <c r="C370" s="3"/>
    </row>
    <row r="371" spans="3:3">
      <c r="C371" s="3"/>
    </row>
    <row r="372" spans="3:3">
      <c r="C372" s="3"/>
    </row>
    <row r="373" spans="3:3">
      <c r="C373" s="3"/>
    </row>
    <row r="374" spans="3:3">
      <c r="C374" s="3"/>
    </row>
    <row r="375" spans="3:3">
      <c r="C375" s="3"/>
    </row>
    <row r="376" spans="3:3">
      <c r="C376" s="3"/>
    </row>
    <row r="377" spans="3:3">
      <c r="C377" s="3"/>
    </row>
    <row r="378" spans="3:3">
      <c r="C378" s="3"/>
    </row>
    <row r="379" spans="3:3">
      <c r="C379" s="3"/>
    </row>
    <row r="380" spans="3:3">
      <c r="C380" s="3"/>
    </row>
    <row r="381" spans="3:3">
      <c r="C381" s="3"/>
    </row>
    <row r="382" spans="3:3">
      <c r="C382" s="3"/>
    </row>
    <row r="383" spans="3:3">
      <c r="C383" s="3"/>
    </row>
    <row r="384" spans="3:3">
      <c r="C384" s="3"/>
    </row>
    <row r="385" spans="3:3">
      <c r="C385" s="3"/>
    </row>
    <row r="386" spans="3:3">
      <c r="C386" s="3"/>
    </row>
    <row r="387" spans="3:3">
      <c r="C387" s="3"/>
    </row>
    <row r="388" spans="3:3">
      <c r="C388" s="3"/>
    </row>
    <row r="389" spans="3:3">
      <c r="C389" s="3"/>
    </row>
    <row r="390" spans="3:3">
      <c r="C390" s="3"/>
    </row>
    <row r="391" spans="3:3">
      <c r="C391" s="3"/>
    </row>
    <row r="392" spans="3:3">
      <c r="C392" s="3"/>
    </row>
    <row r="393" spans="3:3">
      <c r="C393" s="3"/>
    </row>
    <row r="394" spans="3:3">
      <c r="C394" s="3"/>
    </row>
    <row r="395" spans="3:3">
      <c r="C395" s="3"/>
    </row>
    <row r="396" spans="3:3">
      <c r="C396" s="3"/>
    </row>
    <row r="397" spans="3:3">
      <c r="C397" s="3"/>
    </row>
    <row r="398" spans="3:3">
      <c r="C398" s="3"/>
    </row>
    <row r="399" spans="3:3">
      <c r="C399" s="3"/>
    </row>
    <row r="400" spans="3:3">
      <c r="C400" s="3"/>
    </row>
    <row r="401" spans="3:3">
      <c r="C401" s="3"/>
    </row>
    <row r="402" spans="3:3">
      <c r="C402" s="3"/>
    </row>
    <row r="403" spans="3:3">
      <c r="C403" s="3"/>
    </row>
  </sheetData>
  <mergeCells count="3">
    <mergeCell ref="A1:A2"/>
    <mergeCell ref="B1:B2"/>
    <mergeCell ref="C1:C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Project Data</vt:lpstr>
      <vt:lpstr>마일스톤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종근 이</dc:creator>
  <cp:lastModifiedBy>종근 이</cp:lastModifiedBy>
  <dcterms:created xsi:type="dcterms:W3CDTF">2025-10-22T03:59:01Z</dcterms:created>
  <dcterms:modified xsi:type="dcterms:W3CDTF">2025-11-26T12:29:26Z</dcterms:modified>
</cp:coreProperties>
</file>