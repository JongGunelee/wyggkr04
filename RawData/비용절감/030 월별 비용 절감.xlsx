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현재_통합_문서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02 기숙사 및 사택\12 주요 진행 현황\02 애플리케이션\03 월별 비용 절감\"/>
    </mc:Choice>
  </mc:AlternateContent>
  <xr:revisionPtr revIDLastSave="0" documentId="13_ncr:1_{5F5FB5B3-D562-41EB-AFC6-6ED83AFFCB4F}" xr6:coauthVersionLast="47" xr6:coauthVersionMax="47" xr10:uidLastSave="{00000000-0000-0000-0000-000000000000}"/>
  <bookViews>
    <workbookView xWindow="14355" yWindow="0" windowWidth="14490" windowHeight="15525" activeTab="1" xr2:uid="{00000000-000D-0000-FFFF-FFFF00000000}"/>
  </bookViews>
  <sheets>
    <sheet name="절감목록" sheetId="24" r:id="rId1"/>
    <sheet name="하이퍼링크" sheetId="2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7" i="24" l="1"/>
  <c r="G257" i="24" s="1"/>
  <c r="F256" i="24"/>
  <c r="E256" i="24"/>
  <c r="G256" i="24" s="1"/>
  <c r="F255" i="24"/>
  <c r="E255" i="24"/>
  <c r="G255" i="24" s="1"/>
  <c r="G254" i="24" l="1"/>
  <c r="F253" i="24"/>
  <c r="G253" i="24" s="1"/>
  <c r="G252" i="24"/>
  <c r="F252" i="24"/>
  <c r="G251" i="24" l="1"/>
  <c r="F250" i="24"/>
  <c r="G250" i="24" l="1"/>
  <c r="F249" i="24"/>
  <c r="G249" i="24" s="1"/>
  <c r="F248" i="24"/>
  <c r="E248" i="24"/>
  <c r="G247" i="24"/>
  <c r="G246" i="24"/>
  <c r="G245" i="24"/>
  <c r="G244" i="24"/>
  <c r="G243" i="24"/>
  <c r="G242" i="24"/>
  <c r="F241" i="24"/>
  <c r="G241" i="24" s="1"/>
  <c r="G240" i="24"/>
  <c r="F240" i="24"/>
  <c r="F239" i="24"/>
  <c r="G239" i="24" s="1"/>
  <c r="F238" i="24"/>
  <c r="G238" i="24" s="1"/>
  <c r="G237" i="24"/>
  <c r="F237" i="24"/>
  <c r="F236" i="24"/>
  <c r="G236" i="24" s="1"/>
  <c r="F235" i="24"/>
  <c r="G235" i="24" s="1"/>
  <c r="F234" i="24"/>
  <c r="G234" i="24" s="1"/>
  <c r="F233" i="24"/>
  <c r="G233" i="24" s="1"/>
  <c r="F232" i="24"/>
  <c r="G232" i="24" s="1"/>
  <c r="F231" i="24"/>
  <c r="G231" i="24" s="1"/>
  <c r="F230" i="24"/>
  <c r="G230" i="24" s="1"/>
  <c r="F229" i="24"/>
  <c r="G229" i="24" s="1"/>
  <c r="G228" i="24"/>
  <c r="F227" i="24"/>
  <c r="G227" i="24" s="1"/>
  <c r="F226" i="24"/>
  <c r="G226" i="24" s="1"/>
  <c r="F225" i="24"/>
  <c r="G225" i="24" s="1"/>
  <c r="F224" i="24"/>
  <c r="G224" i="24" s="1"/>
  <c r="F223" i="24"/>
  <c r="G223" i="24" s="1"/>
  <c r="F222" i="24"/>
  <c r="G222" i="24" s="1"/>
  <c r="F221" i="24"/>
  <c r="G221" i="24" s="1"/>
  <c r="F220" i="24"/>
  <c r="G220" i="24" s="1"/>
  <c r="F219" i="24"/>
  <c r="G219" i="24" s="1"/>
  <c r="G218" i="24"/>
  <c r="F218" i="24"/>
  <c r="F217" i="24"/>
  <c r="G217" i="24" s="1"/>
  <c r="F216" i="24"/>
  <c r="G216" i="24" s="1"/>
  <c r="F215" i="24"/>
  <c r="G215" i="24" s="1"/>
  <c r="G248" i="24" l="1"/>
  <c r="F214" i="24"/>
  <c r="G214" i="24" s="1"/>
  <c r="F213" i="24"/>
  <c r="G213" i="24" s="1"/>
  <c r="F212" i="24"/>
  <c r="G212" i="24" s="1"/>
  <c r="F211" i="24"/>
  <c r="G211" i="24" s="1"/>
  <c r="F210" i="24"/>
  <c r="G210" i="24" s="1"/>
  <c r="F209" i="24"/>
  <c r="G209" i="24" s="1"/>
  <c r="F208" i="24"/>
  <c r="G208" i="24" s="1"/>
  <c r="F207" i="24"/>
  <c r="G207" i="24" s="1"/>
  <c r="F206" i="24"/>
  <c r="G206" i="24" s="1"/>
  <c r="F205" i="24"/>
  <c r="G205" i="24" s="1"/>
  <c r="F204" i="24"/>
  <c r="G204" i="24" s="1"/>
  <c r="F203" i="24"/>
  <c r="G203" i="24" s="1"/>
  <c r="F202" i="24"/>
  <c r="G202" i="24" s="1"/>
  <c r="F201" i="24"/>
  <c r="G201" i="24" s="1"/>
  <c r="F200" i="24"/>
  <c r="G200" i="24" s="1"/>
  <c r="F199" i="24"/>
  <c r="G199" i="24" s="1"/>
  <c r="F198" i="24"/>
  <c r="G198" i="24" s="1"/>
  <c r="F197" i="24"/>
  <c r="G197" i="24" s="1"/>
  <c r="F196" i="24"/>
  <c r="G196" i="24" s="1"/>
  <c r="F195" i="24"/>
  <c r="G195" i="24" s="1"/>
  <c r="F194" i="24"/>
  <c r="G194" i="24" s="1"/>
  <c r="F193" i="24"/>
  <c r="G193" i="24" s="1"/>
  <c r="F192" i="24"/>
  <c r="G192" i="24" s="1"/>
  <c r="F191" i="24"/>
  <c r="G191" i="24" s="1"/>
  <c r="F190" i="24"/>
  <c r="G190" i="24" s="1"/>
  <c r="F189" i="24"/>
  <c r="G189" i="24" s="1"/>
  <c r="F188" i="24"/>
  <c r="G188" i="24" s="1"/>
  <c r="F187" i="24"/>
  <c r="G187" i="24" s="1"/>
  <c r="F186" i="24"/>
  <c r="G186" i="24" s="1"/>
  <c r="F185" i="24"/>
  <c r="G185" i="24" s="1"/>
  <c r="G184" i="24"/>
  <c r="G183" i="24"/>
  <c r="F182" i="24"/>
  <c r="G182" i="24" s="1"/>
  <c r="F181" i="24"/>
  <c r="G181" i="24" s="1"/>
  <c r="F180" i="24"/>
  <c r="G180" i="24" s="1"/>
  <c r="F179" i="24"/>
  <c r="G179" i="24" s="1"/>
  <c r="F178" i="24"/>
  <c r="G178" i="24" s="1"/>
  <c r="F177" i="24"/>
  <c r="G177" i="24" s="1"/>
  <c r="F176" i="24"/>
  <c r="G176" i="24" s="1"/>
  <c r="F175" i="24"/>
  <c r="G175" i="24" s="1"/>
  <c r="F174" i="24"/>
  <c r="G174" i="24" s="1"/>
  <c r="F173" i="24"/>
  <c r="G173" i="24" s="1"/>
  <c r="F172" i="24"/>
  <c r="G172" i="24" s="1"/>
  <c r="F171" i="24"/>
  <c r="G171" i="24" s="1"/>
  <c r="F170" i="24"/>
  <c r="G170" i="24" s="1"/>
  <c r="F169" i="24"/>
  <c r="G169" i="24" s="1"/>
  <c r="F168" i="24"/>
  <c r="G168" i="24" s="1"/>
  <c r="F167" i="24"/>
  <c r="G167" i="24" s="1"/>
  <c r="F166" i="24"/>
  <c r="G166" i="24" s="1"/>
  <c r="F165" i="24"/>
  <c r="G165" i="24" s="1"/>
  <c r="F164" i="24"/>
  <c r="G164" i="24" s="1"/>
  <c r="F163" i="24"/>
  <c r="G163" i="24" s="1"/>
  <c r="F162" i="24"/>
  <c r="G162" i="24" s="1"/>
  <c r="F161" i="24"/>
  <c r="G161" i="24" s="1"/>
  <c r="F160" i="24"/>
  <c r="G160" i="24" s="1"/>
  <c r="F159" i="24"/>
  <c r="G159" i="24" s="1"/>
  <c r="F158" i="24"/>
  <c r="G158" i="24" s="1"/>
  <c r="F157" i="24"/>
  <c r="G157" i="24" s="1"/>
  <c r="F156" i="24"/>
  <c r="G156" i="24" s="1"/>
  <c r="F155" i="24"/>
  <c r="G155" i="24" s="1"/>
  <c r="F154" i="24"/>
  <c r="G154" i="24" s="1"/>
  <c r="F153" i="24"/>
  <c r="G153" i="24" s="1"/>
  <c r="F152" i="24"/>
  <c r="G152" i="24" s="1"/>
  <c r="F151" i="24"/>
  <c r="G151" i="24" s="1"/>
  <c r="F150" i="24"/>
  <c r="G150" i="24" s="1"/>
  <c r="F149" i="24"/>
  <c r="G149" i="24" s="1"/>
  <c r="F148" i="24"/>
  <c r="G148" i="24" s="1"/>
  <c r="F147" i="24"/>
  <c r="G147" i="24" s="1"/>
  <c r="F146" i="24"/>
  <c r="G146" i="24" s="1"/>
  <c r="F145" i="24"/>
  <c r="G145" i="24" s="1"/>
  <c r="F144" i="24"/>
  <c r="G144" i="24" s="1"/>
  <c r="F143" i="24"/>
  <c r="G143" i="24" s="1"/>
  <c r="F142" i="24"/>
  <c r="G142" i="24" s="1"/>
  <c r="F141" i="24"/>
  <c r="G141" i="24" s="1"/>
  <c r="F140" i="24"/>
  <c r="G140" i="24" s="1"/>
  <c r="F139" i="24"/>
  <c r="G139" i="24" s="1"/>
  <c r="F138" i="24"/>
  <c r="G138" i="24" s="1"/>
  <c r="F137" i="24"/>
  <c r="G137" i="24" s="1"/>
  <c r="F136" i="24"/>
  <c r="G136" i="24" s="1"/>
  <c r="F135" i="24"/>
  <c r="F134" i="24"/>
  <c r="G134" i="24" s="1"/>
  <c r="F133" i="24"/>
  <c r="G133" i="24" s="1"/>
  <c r="F132" i="24"/>
  <c r="G132" i="24" s="1"/>
  <c r="F131" i="24"/>
  <c r="G131" i="24" s="1"/>
  <c r="F130" i="24"/>
  <c r="G130" i="24" s="1"/>
  <c r="F129" i="24"/>
  <c r="G129" i="24" s="1"/>
  <c r="F128" i="24"/>
  <c r="G128" i="24" s="1"/>
  <c r="F127" i="24"/>
  <c r="G127" i="24" s="1"/>
  <c r="F126" i="24"/>
  <c r="F125" i="24"/>
  <c r="F124" i="24"/>
  <c r="F123" i="24"/>
  <c r="F122" i="24"/>
  <c r="F121" i="24"/>
  <c r="F119" i="24"/>
  <c r="F118" i="24"/>
  <c r="F117" i="24"/>
  <c r="G117" i="24" s="1"/>
  <c r="F116" i="24"/>
  <c r="G116" i="24" s="1"/>
  <c r="F115" i="24"/>
  <c r="F114" i="24"/>
  <c r="F113" i="24"/>
  <c r="F112" i="24"/>
  <c r="G112" i="24" s="1"/>
  <c r="F110" i="24"/>
  <c r="G110" i="24" s="1"/>
  <c r="F109" i="24"/>
  <c r="F108" i="24"/>
  <c r="F107" i="24"/>
  <c r="G107" i="24" s="1"/>
  <c r="F106" i="24"/>
  <c r="F105" i="24"/>
  <c r="F104" i="24"/>
  <c r="G104" i="24" s="1"/>
  <c r="F103" i="24"/>
  <c r="F102" i="24"/>
  <c r="G102" i="24" s="1"/>
  <c r="F100" i="24"/>
  <c r="G100" i="24" s="1"/>
  <c r="F99" i="24"/>
  <c r="F98" i="24"/>
  <c r="F97" i="24"/>
  <c r="G97" i="24" s="1"/>
  <c r="E96" i="24"/>
  <c r="G96" i="24" s="1"/>
  <c r="F95" i="24"/>
  <c r="E95" i="24"/>
  <c r="G94" i="24"/>
  <c r="G93" i="24"/>
  <c r="G92" i="24"/>
  <c r="G91" i="24"/>
  <c r="F90" i="24"/>
  <c r="G90" i="24" s="1"/>
  <c r="F89" i="24"/>
  <c r="G89" i="24" s="1"/>
  <c r="F88" i="24"/>
  <c r="G88" i="24" s="1"/>
  <c r="F87" i="24"/>
  <c r="E87" i="24"/>
  <c r="F86" i="24"/>
  <c r="E86" i="24"/>
  <c r="G85" i="24"/>
  <c r="G84" i="24"/>
  <c r="G83" i="24"/>
  <c r="G82" i="24"/>
  <c r="G81" i="24"/>
  <c r="G80" i="24"/>
  <c r="G79" i="24"/>
  <c r="G78" i="24"/>
  <c r="G77" i="24"/>
  <c r="G76" i="24"/>
  <c r="G75" i="24"/>
  <c r="G74" i="24"/>
  <c r="G73" i="24"/>
  <c r="G72" i="24"/>
  <c r="G71" i="24"/>
  <c r="G70" i="24"/>
  <c r="G69" i="24"/>
  <c r="G68" i="24"/>
  <c r="G67" i="24"/>
  <c r="G66" i="24"/>
  <c r="G65" i="24"/>
  <c r="F64" i="24"/>
  <c r="G64" i="24" s="1"/>
  <c r="G63" i="24"/>
  <c r="G61" i="24"/>
  <c r="G60" i="24"/>
  <c r="G59" i="24"/>
  <c r="G58" i="24"/>
  <c r="G57" i="24"/>
  <c r="G56" i="24"/>
  <c r="G55" i="24"/>
  <c r="G54" i="24"/>
  <c r="G53" i="24"/>
  <c r="G52" i="24"/>
  <c r="G51" i="24"/>
  <c r="G50" i="24"/>
  <c r="G49" i="24"/>
  <c r="F48" i="24"/>
  <c r="E48" i="24"/>
  <c r="F47" i="24"/>
  <c r="E47" i="24"/>
  <c r="G46" i="24"/>
  <c r="G45" i="24"/>
  <c r="G44" i="24"/>
  <c r="G43" i="24"/>
  <c r="G41" i="24"/>
  <c r="G40" i="24"/>
  <c r="G39" i="24"/>
  <c r="G38" i="24"/>
  <c r="G37" i="24"/>
  <c r="G36" i="24"/>
  <c r="G35" i="24"/>
  <c r="G34" i="24"/>
  <c r="G33" i="24"/>
  <c r="G48" i="24" l="1"/>
  <c r="G87" i="24"/>
  <c r="G47" i="24"/>
  <c r="G86" i="24"/>
  <c r="G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93DE8D-9B3E-442F-8F6A-17D0F48E0F29}" sourceFile="D:\02 기숙사 및 사택\03 로우데이터\25년_RawData_(기숙사 및 사택 현황).xlsx" keepAlive="1" name="25년_RawData_(기숙사 및 사택 현황)1" type="5" refreshedVersion="8" background="1">
    <dbPr connection="Provider=Microsoft.ACE.OLEDB.12.0;User ID=Admin;Data Source=D:\02 기숙사 및 사택\03 로우데이터\25년_RawData_(기숙사 및 사택 현황)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RawData$" commandType="3"/>
  </connection>
  <connection id="2" xr16:uid="{C6BB0C3D-D8AF-4310-9A97-5F9887BF0165}" sourceFile="D:\02 기숙사 및 사택\03 로우데이터\26년_RawData_(기숙사 및 사택 현황).xlsx" keepAlive="1" name="26년_RawData_(기숙사 및 사택 현황)" type="5" refreshedVersion="8" background="1" saveData="1">
    <dbPr connection="Provider=Microsoft.ACE.OLEDB.12.0;User ID=Admin;Data Source=D:\02 기숙사 및 사택\03 로우데이터\26년_RawData_(기숙사 및 사택 현황)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RawData$" commandType="3"/>
  </connection>
  <connection id="3" xr16:uid="{549ABD3A-78B8-4088-A864-0B5AAFCB63F4}" keepAlive="1" name="쿼리 - 절감유형별 목록" description="통합 문서의 '절감유형별 목록' 쿼리에 대한 연결입니다." type="5" refreshedVersion="0" background="1">
    <dbPr connection="Provider=Microsoft.Mashup.OleDb.1;Data Source=$Workbook$;Location=&quot;절감유형별 목록&quot;;Extended Properties=&quot;&quot;" command="SELECT * FROM [절감유형별 목록]"/>
  </connection>
  <connection id="4" xr16:uid="{BDB1A1F9-C0E2-414F-949A-33C9C701ABAF}" keepAlive="1" name="쿼리 - 절감유형별 목록 (2)" description="통합 문서의 '절감유형별 목록 (2)' 쿼리에 대한 연결입니다." type="5" refreshedVersion="0" background="1">
    <dbPr connection="Provider=Microsoft.Mashup.OleDb.1;Data Source=$Workbook$;Location=&quot;절감유형별 목록 (2)&quot;;Extended Properties=&quot;&quot;" command="SELECT * FROM [절감유형별 목록 (2)]"/>
  </connection>
</connections>
</file>

<file path=xl/sharedStrings.xml><?xml version="1.0" encoding="utf-8"?>
<sst xmlns="http://schemas.openxmlformats.org/spreadsheetml/2006/main" count="790" uniqueCount="411">
  <si>
    <t>비용배분</t>
  </si>
  <si>
    <t>사택 9-501 누수탐지 및 바닥 매립배관 보수</t>
  </si>
  <si>
    <t>사택 2-203호외 3세대 누수 난방분배기 교체</t>
  </si>
  <si>
    <t>사택 2-203 씽크대 상하부장 문짝교체</t>
  </si>
  <si>
    <t>사택 9-503 씽크대 상하부장 문짝교체</t>
  </si>
  <si>
    <t>사택 8-310 씽크대 상하부장 문짝교체</t>
  </si>
  <si>
    <t>사택 5-501 씽크대 상하부장 문짝교체</t>
  </si>
  <si>
    <t>기숙사 및 사택 저수조 안전 브라켓</t>
  </si>
  <si>
    <t>기숙사동 및 사택 소방 지적사항 보완</t>
  </si>
  <si>
    <t>사택 101-304 고장 보일러 납품</t>
  </si>
  <si>
    <t>사택 101-103 고장 보일러 납품</t>
  </si>
  <si>
    <t>사택 102-306 고장 보일러 납품</t>
  </si>
  <si>
    <t>사택 103-301 고장 보일러 납품</t>
  </si>
  <si>
    <t>사택 102-305 고장 보일러 납품</t>
  </si>
  <si>
    <t>사택 103-406 고장 보일러 납품</t>
  </si>
  <si>
    <t>절감항목</t>
    <phoneticPr fontId="1" type="noConversion"/>
  </si>
  <si>
    <t>월</t>
    <phoneticPr fontId="1" type="noConversion"/>
  </si>
  <si>
    <t>작업유형</t>
    <phoneticPr fontId="1" type="noConversion"/>
  </si>
  <si>
    <t>절감비(A-B)</t>
    <phoneticPr fontId="1" type="noConversion"/>
  </si>
  <si>
    <t>A.집행비</t>
    <phoneticPr fontId="1" type="noConversion"/>
  </si>
  <si>
    <t>B.공사비 적용시</t>
    <phoneticPr fontId="1" type="noConversion"/>
  </si>
  <si>
    <t>사택 공가 수장공사</t>
  </si>
  <si>
    <t>사택 누수보수</t>
  </si>
  <si>
    <t>사택 7동 LED등 교체</t>
  </si>
  <si>
    <t>기타 보수(기숙사/사택)</t>
  </si>
  <si>
    <t>사택 세대내 보일러 교체(개별)</t>
  </si>
  <si>
    <t>임차사택 공가 수장공사</t>
  </si>
  <si>
    <t>긴급 건축 보수(후정산)</t>
  </si>
  <si>
    <t>비고</t>
    <phoneticPr fontId="1" type="noConversion"/>
  </si>
  <si>
    <t>B-502-1 난방불량 - 구동기 핀밸브 고착으로 보수</t>
  </si>
  <si>
    <t>2-207 욕실 샤워부스 고정용 부품 교체 및 재설치</t>
  </si>
  <si>
    <t>2-207 앞베란다 방충망 1개 보수</t>
  </si>
  <si>
    <t>A-502-5 난방불량 - 구동기 인서트 밸브 핀 조정</t>
  </si>
  <si>
    <t>A-204-4 난방불량 - 구동기 핀밸브 수리</t>
  </si>
  <si>
    <t>B-803-2 욕실 샤워기 앞 주변 바닥타일 실리콘 보수</t>
  </si>
  <si>
    <t>2-207 주방 하부장 상판 및 타일 실리콘 보수</t>
  </si>
  <si>
    <t>A-802-6 난방불량 - 구동기 작동불량으로 교체</t>
  </si>
  <si>
    <t>9-303 주방 타일 실리콘 작업</t>
  </si>
  <si>
    <t>5동 304호 누수탐지 및 보수(미래설비)</t>
  </si>
  <si>
    <t>7-204 뒤베란다 및 주방 씽크대 상부 크랙 실리콘 보수</t>
  </si>
  <si>
    <t>8-403 주방 씽크대 중앙하부장 우측문 탈락 및 유격발생- 문 분리후 추가타공 재고정후 유격조절후 문설치</t>
  </si>
  <si>
    <t>8-110 욕실 천장 누수- 210 욕실 바닥 배수관 연결부 빠짐으로 연결 부품 조임 처리</t>
  </si>
  <si>
    <t>B-802-6 난방불량 - 구동기 교체 및 핀밸브 보수</t>
  </si>
  <si>
    <t>5-301 누수 보수 - 주방 바닥 온수배관 엘보 보수(미래설비)</t>
  </si>
  <si>
    <t>8-502 욕실 벽면 모서리 실리콘 보수</t>
  </si>
  <si>
    <t>A-1002-1 버티컬 날개 5개 보수</t>
  </si>
  <si>
    <t>B-804-2 욕실 벽타일 줄눈 실리콘 작업</t>
  </si>
  <si>
    <t>A-303-2 욕실 양변기 하부 탈락 - 백시멘트 보수</t>
  </si>
  <si>
    <t>9-304 욕실 벽면 모서리 실리콘 작업</t>
  </si>
  <si>
    <t>102-406 안방 욕실 바닥 실리콘 부분 보수</t>
  </si>
  <si>
    <t>103-204 주방 씽크대 상판 실리콘 부분 보수작업</t>
  </si>
  <si>
    <t>A-403-1 방 버티컬 날개 1개 보수</t>
  </si>
  <si>
    <t>B-303-4 세면대 기둥 옆 바닥타일 2개 탈락으로 실리콘 작업</t>
  </si>
  <si>
    <t>B-302-1 욕실 바닥타일 줄눈 실리콘 작업</t>
  </si>
  <si>
    <t>A-403-1 베란다 방충망 하단 보수</t>
  </si>
  <si>
    <t>B-302-1 베란다 방충망 하단 보수</t>
  </si>
  <si>
    <t>3-221 블라인드 하부 프레임 파손 보수</t>
  </si>
  <si>
    <t>B-1001-3 베란다 방충망 하단 보수</t>
  </si>
  <si>
    <t>B-304-3 욕실 탈일 줄눈(6군데) 실리콘 작업</t>
  </si>
  <si>
    <t>7-302 주방 및 욕실 실리콘 작업</t>
  </si>
  <si>
    <t>8-209 주방 및 욕실 실리콘 작업</t>
  </si>
  <si>
    <t>A-501-2 욕실 바닥 타일 들뜸 보수 - 타일 부착</t>
  </si>
  <si>
    <t>관리소(기계 전환)</t>
  </si>
  <si>
    <t>관리소(건축 전환)</t>
  </si>
  <si>
    <t>관리소(전기 전환)</t>
  </si>
  <si>
    <t>관리소(탐지 전환)</t>
  </si>
  <si>
    <t>6-406 씽크대 수전 철거 및 온▷ 냉수 벽부 배관 엔드캡 막음</t>
  </si>
  <si>
    <t>8-310 욕실▷ 주방 씽크대 모서리 실리콘 보수</t>
  </si>
  <si>
    <t>2-303 현관 디지털도어락 작동불량으로 교체▷ 현관 수동도어락 문틀 캣치박스 불량▷ 파손으로 캣치재설치</t>
  </si>
  <si>
    <t>5-501 주방 펜 필터 2개 교체▷ 욕실 벽면 모서리 실리콘 작업</t>
  </si>
  <si>
    <t>A-203-3 양변기 안착 및 실리콘 고정▷ 바닥 벽 테두리 실리코 코킹</t>
  </si>
  <si>
    <t>B-704-4 욕실 수납장 다보 8개 교체▷ 샤워부스 바닥 실리콘 작업▷ 벽면 줄눈 실리콘 작업</t>
  </si>
  <si>
    <t>A-804-3 욕실 바닥타일 2장 실리콘 고정▷ 줄눈 실리콘 작업</t>
  </si>
  <si>
    <t>B-604-3 욕실 출입문 뒤▷ 샤워기 뒤 벽타일 모서리 실리콘 보수▷ 샤워 유리부스 파티션 바닥 실리콘 보수</t>
  </si>
  <si>
    <t>2-404 욕실 바닥▷ 벽면 모서리 실리콘 보수</t>
  </si>
  <si>
    <t>A-504-4 욕실 바닥타일 사이드 조각 3개 탈락 코킹 부착▷ 코너선반 탈락 고정▷ 방문손잡이 흔들림 고정 처리 휴지걸이 탈락 고정 처리</t>
  </si>
  <si>
    <t>1-107▷ 8-401 욕실 벽면 모서리 실리콘 작업</t>
  </si>
  <si>
    <t>B-801호 전체 온도조절기 전원불량 - 메인제어기 전원분리된 상태로 전원 복구_6번방 구동기 핀고착으로 보수</t>
  </si>
  <si>
    <t>A-303-2 난방조절안됨 - 구동기 전체 분리 재연결_조작 컨트롤러 휴즈 교체 및 필밸브 보수</t>
  </si>
  <si>
    <t>A-203-1 베란다 상단 모서리 크랙 실리콘 작업_욕실 수납장▷ 다보 및 유리설치 욕실 세면대 I트랩▷ 자동풉업 교체</t>
  </si>
  <si>
    <t>●24년 상반기 실 집행비(1세대)</t>
  </si>
  <si>
    <t>●1세대 실 집행비</t>
  </si>
  <si>
    <t>●계약후 감액 변경
→ 작업일 2일 계획에서 1일로 변경
→ 단순작업(약 1시간): 실비 정산 전환_무상(발주유형 변경)</t>
  </si>
  <si>
    <t>●계약후 감액 변경
→ 밸브 3개-&gt;2개 감액(정밀 재점검)
→ 전담 사다리 보조자 미투입 감액(작업성)</t>
  </si>
  <si>
    <t>●누수탐지(미래설비) 집행비 500,000원 예상_확인 필요</t>
  </si>
  <si>
    <t>사택 8-502 씽크대 상하부장 문짝교체</t>
  </si>
  <si>
    <t>사택 2-404 씽크대 상하부장 문짝교체</t>
  </si>
  <si>
    <t>[오류2-108]사택 2-203외 5세대 누수 난방분배기 교체</t>
  </si>
  <si>
    <t>사택 2-108 씽크대 상하부장 문짝교체</t>
  </si>
  <si>
    <t>사택 102-405 고장 보일러 납품</t>
  </si>
  <si>
    <t>사택 103-206 고장 보일러 납품</t>
  </si>
  <si>
    <t>사택 103-401 고장 보일러 납품</t>
  </si>
  <si>
    <t>[계약파기]임차사택 수장공사 우승준(제품개발)</t>
  </si>
  <si>
    <t>사택 5-401 누수 난방분배기 교체</t>
  </si>
  <si>
    <t>●영선성 으로 전환 (발주유형 변경)
→2세대씩 묶음(시공사 미정시 긴급대응)</t>
  </si>
  <si>
    <t>사택 102-401 세대내 고장 보일러 교체</t>
  </si>
  <si>
    <t>단가 검토 확정전 '24년 기본 견적 단가 반영분</t>
  </si>
  <si>
    <t>●요청접수(1월14일)→실측,검증(*7동 붙박이장 상부 도배 제외)→확정(4월16)
→확정전 까지 '24년 기본견적 단가 적용( ~ 4월 중순)
→25년 5월 집행 12세대(46백만원) Vs. '24년 4월말 실적 12세대(48백만원)</t>
  </si>
  <si>
    <t>씽크대 상하부장 문짝교체</t>
  </si>
  <si>
    <t>23년 씽크대 교체 평균 실적(18세대)</t>
  </si>
  <si>
    <t>사택 5-405 씽크대 교체(고층장비)</t>
  </si>
  <si>
    <t>사택 2-207 씽크대 상하부장 문짝교체</t>
  </si>
  <si>
    <t>사택 주방벽 타일교체</t>
  </si>
  <si>
    <t>23년 주방벽 철거 및 및 신규 설치 실적(21세대) 세대당 평균</t>
  </si>
  <si>
    <t>● 2세대씩 묶음(시공사 미정시 긴급대응)</t>
  </si>
  <si>
    <t>사택 7-403외 1세대 LED등기구 교체</t>
  </si>
  <si>
    <t>입주민과 협의하여 공사 최소화 권장</t>
  </si>
  <si>
    <t>● 업무지원팀▶입주민과 사전 협의 시 공사 최소 유도 활동_5월말기준
→[25년 577,275(2세대_Avg.) - 24년 1,836,816(3세대_Avg.)]*2=-2,474,650원</t>
  </si>
  <si>
    <t>●계약파기_거실 장판(작업 안전 기준 가이드, 주말X)</t>
  </si>
  <si>
    <t>사택 단열작업</t>
  </si>
  <si>
    <t>사택 9-406 다용도실 및 뒤베란다 외벽 단열외 4건</t>
  </si>
  <si>
    <t>2-105 전등 누전발생으로 점검 - 보일러 내 부 케이블 절연처리 복구</t>
  </si>
  <si>
    <t>1-101 주방 천장(씽크대 상부) 누수 점검 및 조치 - 201호 주방 씽크대 원홀 수전 누수로 교체</t>
  </si>
  <si>
    <t>A-501-2 욕실 바닥 타일 들뜸 자체보수 완료 : 타일 줄눈 작업</t>
  </si>
  <si>
    <t>→단가 인상전 '24년 단가 적용</t>
  </si>
  <si>
    <t>A동 GS편의점 탕비실 소제씽크 배수관 역류발생 보수- PVC 배관 연장 및 배수호스 교체</t>
  </si>
  <si>
    <t>5-204 욕실 샤워 슬라이드 바. 욕실 사각선반 철거, 사각선반(유리) 설치, 휴지걸이 설치</t>
  </si>
  <si>
    <t>2-301 샤워부스 상부지지봉 설치, 샤워 슬라이드바 교체</t>
  </si>
  <si>
    <t>5-204 욕실 수납장 교체. 현관 도어크로져 누유로 교체</t>
  </si>
  <si>
    <t>A-702-3 욕실 바닥타일 줄눈 실리콘 작업</t>
  </si>
  <si>
    <t>A-602-6 욕실 바닥타일 탈락, 벽타일 실리콘 보수</t>
  </si>
  <si>
    <t>B-904-3 욕실문 뒤쪽 벽타일 줄눈 및 모서리 실리콘 작업</t>
  </si>
  <si>
    <t>B-802-6 욕실 벽타일 실리콘 작업</t>
  </si>
  <si>
    <t>A-801-1 욕실 바닥타일 실리콘 작업</t>
  </si>
  <si>
    <t>A-602-4 욕실 바닥타일 실리콘 작업</t>
  </si>
  <si>
    <t>3동 기계실 저수조 옆 천장 난방배관 누수발생- 멀티 조인트 32A 1개 누수부위 체결</t>
  </si>
  <si>
    <t>3동 기계실 저주소 옆 천장 난방배관 추가 누수- 멀티 조인트 32A 1개 누수부위 체결</t>
  </si>
  <si>
    <t>5-204 양변기 물탱크(중고) 교체- 물탱크 교체후 필밸브 및 변기 부속품 일체 교체</t>
  </si>
  <si>
    <t>5-501 씽크대 하부 서랍장 찬넬 설치, 양변기 물탱크(중고) 교체</t>
  </si>
  <si>
    <t>3동 기계실 난방배관 동일라인 추가누수 - 보수용 클램프 설치</t>
  </si>
  <si>
    <t>●(기계 최소인건비) 520,300원* 1회 (4월)=520,300원(★2건) [5건↓ 1회 적용],자재비 제외_비용 추정(보수적)</t>
    <phoneticPr fontId="1" type="noConversion"/>
  </si>
  <si>
    <t>●(기계 최소인건비) 520,300원* 1회 (3월)=520,300원(★2건) [5건↓ 1회 적용],자재비 제외_비용 추정(보수적)</t>
    <phoneticPr fontId="1" type="noConversion"/>
  </si>
  <si>
    <t>●(기계 최소인건비) 520,300원* 1회 (2월)=520,300원(★4건) [5건↓ 1회 적용],자재비 제외_비용 추정(보수적)</t>
    <phoneticPr fontId="1" type="noConversion"/>
  </si>
  <si>
    <t>●(기계 최소인건비) 520,300원* 2회 (1월)=1,040,600원(★5건) [5건↑ 2회 적용],자재비 제외_비용 추정(보수적)</t>
    <phoneticPr fontId="1" type="noConversion"/>
  </si>
  <si>
    <t>●(건축 최소인건비) 506,325원* 2회 (1월)=1,012,650원(★7건) [5건↑ 2회 적용],자재비 제외_비용 추정(보수적)</t>
  </si>
  <si>
    <t>●(건축 최소인건비) 506,325원* 2회 (2월)=1,012,650원(★11건) [5건↑ 2회 적용],자재비 제외_비용 추정(보수적)</t>
  </si>
  <si>
    <t>●(건축 최소인건비) 506,325원* 2회 (3월)=1,012,650원(★7건) [5건↑ 2회 적용],자재비 제외_비용 추정(보수적)</t>
  </si>
  <si>
    <t>●(건축 최소인건비) 506,325원* 2회 (4월)=1,012,650원(★10건) [5건↑ 2회 적용],자재비 제외_비용 추정(보수적)</t>
  </si>
  <si>
    <t>[전환]사택 9-503 주방벽 타일교체</t>
    <phoneticPr fontId="1" type="noConversion"/>
  </si>
  <si>
    <t>[전환]사택 8-310 주방벽 타일교체</t>
    <phoneticPr fontId="1" type="noConversion"/>
  </si>
  <si>
    <t>[전환]사택 5-501 주방벽 타일교체</t>
    <phoneticPr fontId="1" type="noConversion"/>
  </si>
  <si>
    <t>[전환]사택 8-502 주방벽 타일교체</t>
    <phoneticPr fontId="1" type="noConversion"/>
  </si>
  <si>
    <t>★A-602-4, A-801-1, B-603-3, B-802-6, B-904-3 퇴거세대 점검강화로 공사 X</t>
    <phoneticPr fontId="1" type="noConversion"/>
  </si>
  <si>
    <t>★A-602-6, B-902-2 퇴거세대 점검강화로 공사 X</t>
    <phoneticPr fontId="1" type="noConversion"/>
  </si>
  <si>
    <t>사택 어린이집 EHP 오버홀 세척</t>
  </si>
  <si>
    <t>사택 어린이집 전열교환기 고효율 필터교체</t>
  </si>
  <si>
    <t>사택 2-204 씽크대 상하부장 문짝교체</t>
    <phoneticPr fontId="1" type="noConversion"/>
  </si>
  <si>
    <t>[전환]사택 2-207 주방벽 타일교체</t>
    <phoneticPr fontId="1" type="noConversion"/>
  </si>
  <si>
    <t>사택 주방벽 타일교체</t>
    <phoneticPr fontId="1" type="noConversion"/>
  </si>
  <si>
    <t>[전환]사택 2-203 주방벽 타일교체</t>
    <phoneticPr fontId="1" type="noConversion"/>
  </si>
  <si>
    <t>[전환]사택 2-404 주방벽 타일교체</t>
    <phoneticPr fontId="1" type="noConversion"/>
  </si>
  <si>
    <t>[전환]사택 2-108 주방벽 타일교체</t>
    <phoneticPr fontId="1" type="noConversion"/>
  </si>
  <si>
    <t>[전환]사택 2-204 주방벽 타일교체</t>
    <phoneticPr fontId="1" type="noConversion"/>
  </si>
  <si>
    <t>A-701-4 발코니 천장 빨래건조대 교체</t>
  </si>
  <si>
    <t>A302-2 화장실 타일 3개 실리콘 보수</t>
  </si>
  <si>
    <t>8-405 주방 렌지후드 필터 2개 교체</t>
  </si>
  <si>
    <t>101동 1_ 2라인 지하 1층 주차장 배기휀 V벨트 A43 2개 교체</t>
  </si>
  <si>
    <t>A-302-4 욕실 천장 누수 A-402-4 샤워실 배수관 육가 이물질 제거_ 청소함</t>
  </si>
  <si>
    <t>102동 3_4라인 ~ 5_6라인 화단 누수대비 비닐 보양</t>
  </si>
  <si>
    <t>●(기계 최소인건비) 520,300원* 2회 (5월)=1,040,600원(★6건) [5건↑ 2회 적용],자재비 제외_비용 추정(보수적)</t>
    <phoneticPr fontId="1" type="noConversion"/>
  </si>
  <si>
    <t>기타 보수(기숙사/사택)</t>
    <phoneticPr fontId="1" type="noConversion"/>
  </si>
  <si>
    <t>●(전열교환기 주말할증) 미적용▶인건비 -150%</t>
    <phoneticPr fontId="1" type="noConversion"/>
  </si>
  <si>
    <t>●(EHP 주말할증) 미적용▶인건비 -150%</t>
    <phoneticPr fontId="1" type="noConversion"/>
  </si>
  <si>
    <t>●24년 베란다 다용도실 집행비: 935,250원(기준)
→다용도실 내 단열 작업 대체로 기존 베란다 도장으로 대체(묶음 무상)
→요청서 작성전 점검 및 협의후 제외</t>
    <phoneticPr fontId="1" type="noConversion"/>
  </si>
  <si>
    <t>B-301-5 욕실 바닥타일 3장 교체 부분 보수</t>
  </si>
  <si>
    <t xml:space="preserve">3-223 욕실 천장 누수 - 천장 상부 오수배관 소제구 엔드캡 풀림으로 조임  </t>
  </si>
  <si>
    <t>A-904-5, B-701-4, B-203-1 욕실 바닥타일 줄눈 실리콘 보수</t>
  </si>
  <si>
    <t>A-704-1, A-402-2 욕실 바닥타일 탈락 보수</t>
  </si>
  <si>
    <t>2-202 주방 및 욕실 모서리 실리콘 보수</t>
  </si>
  <si>
    <t>B-302-3 욕실 상부 누수 - B-402-3 베란다 우수관 하부소켓 보수</t>
  </si>
  <si>
    <t>B동 라운지 1 상부 누수 - B-202-3 베란다 우수관 하부소켓 보수</t>
  </si>
  <si>
    <t>사택 2동 지붕 전면부 배수로 기와 교체</t>
  </si>
  <si>
    <t>사택 2-301 씽크대 상하부장 문짝교체</t>
  </si>
  <si>
    <t>사택 5-204 씽크대 상하부장 문짝교체</t>
  </si>
  <si>
    <t>사택 101-301 고장 보일러 납품</t>
  </si>
  <si>
    <t>사택 102-302 고장 보일러 납품</t>
  </si>
  <si>
    <t>사택 103-101 고장 보일러 납품</t>
  </si>
  <si>
    <t>사택 7-302외 1세대(405) LED등기구 교체</t>
    <phoneticPr fontId="1" type="noConversion"/>
  </si>
  <si>
    <t>[전환]사택 2-301 주방벽 타일교체</t>
    <phoneticPr fontId="1" type="noConversion"/>
  </si>
  <si>
    <t>[전환]사택 5-204 주방벽 타일교체</t>
    <phoneticPr fontId="1" type="noConversion"/>
  </si>
  <si>
    <t>사택 5-405 주방벽 철거 및 타일교체</t>
    <phoneticPr fontId="1" type="noConversion"/>
  </si>
  <si>
    <t>● 2세대씩 묶음
→[25년 1,154,550(2세대) - 24년 890,100(1세대_Avg.)*2]=-625,650원</t>
    <phoneticPr fontId="1" type="noConversion"/>
  </si>
  <si>
    <t>● 2세대씩 묶음
→[25년 1,187,875(2세대) - 24년 890,100(1세대_Avg.)*2]=-592,325원</t>
    <phoneticPr fontId="1" type="noConversion"/>
  </si>
  <si>
    <t>● 2동 배수로 청소 제외후 일정 확보 --&gt; AB동 외벽 도장 보수(5일간)
→ 5동 지붕 고장 무동력 휀 교체 및 7동 지붕 환기구 점검 묶음</t>
    <phoneticPr fontId="1" type="noConversion"/>
  </si>
  <si>
    <t>사택 8-405 씽크대 상하부장 문짝교체</t>
  </si>
  <si>
    <t>사택 2-306 씽크대 상하부장 문짝교체</t>
  </si>
  <si>
    <t>사택 7-105외 1세대(504) LED등기구 교체</t>
    <phoneticPr fontId="1" type="noConversion"/>
  </si>
  <si>
    <t>기숙사 A동 2호기 승강기 내부 CCTV 보수</t>
    <phoneticPr fontId="1" type="noConversion"/>
  </si>
  <si>
    <t>승강기 유지보수 업체 추가</t>
    <phoneticPr fontId="1" type="noConversion"/>
  </si>
  <si>
    <t>●23년 씽크대 18세대(PO 73,433,250)집행=&gt;4,079,625(세대당 평균 금액)
'→참조: 24년 상반기 실 집행비(1세대)_층고 및 세대별 평수 상이</t>
    <phoneticPr fontId="1" type="noConversion"/>
  </si>
  <si>
    <t>●참조: 23년 주방 타일벽 21세대(PO금액 29,586,150원) 실집행비=&gt;1,408,864(세대당 평균 금액)
→24년 1월말 : 사택 5-405 주방벽 철거 및 타일교체(기실적): 1,284,625
→세대별 벽구조에 따른 공사방법에 따라 차이큼
→관리소(건축 전환) 으로 영선 전환
→세대별 벽구조에 따른 공사방법에 따라 차이큼
→타일 부분 보수: 관리소(건축 전환) 으로 영선 전환</t>
    <phoneticPr fontId="1" type="noConversion"/>
  </si>
  <si>
    <t>[전환]사택 8-405 주방벽 타일교체</t>
    <phoneticPr fontId="1" type="noConversion"/>
  </si>
  <si>
    <t>[전환]사택 2-306 주방벽 타일교체</t>
    <phoneticPr fontId="1" type="noConversion"/>
  </si>
  <si>
    <t>[전환]사택 9-103 주방벽 타일교체</t>
    <phoneticPr fontId="1" type="noConversion"/>
  </si>
  <si>
    <t>[전환]사택 2-102 주방벽 타일교체</t>
    <phoneticPr fontId="1" type="noConversion"/>
  </si>
  <si>
    <t>[전환]사택 5-406 주방벽 타일교체</t>
    <phoneticPr fontId="1" type="noConversion"/>
  </si>
  <si>
    <t>●23년 씽크대 18세대(PO 73,433,250)집행=&gt;4,079,625(세대당 평균 금액)
→참조: 24년 상반기 실 집행비(1세대)_층고 및 세대별 평수 상이</t>
    <phoneticPr fontId="1" type="noConversion"/>
  </si>
  <si>
    <t>●23년 씽크대 18세대(PO 73,433,250)집행=&gt;4,079,625(세대당 평균 금액)
→참조: 24년 상반기 실 집행비(1세대)_층고 및 세대별 평수 상이
→단가 인상전 '24년 단가 적용</t>
    <phoneticPr fontId="1" type="noConversion"/>
  </si>
  <si>
    <t xml:space="preserve"> 2-308 주방 천장 누수 - 408 주방 배수관 깨짐으로 보수, 308호 주방 천장 P트랩 마감캡 풀림으로 재조립</t>
  </si>
  <si>
    <t>A-804-4 욕실바닥타일 3장 탈락 코킹처리</t>
  </si>
  <si>
    <t>B-802-1 욕실문 뒤 벽면타일 코킹줄눈 보수, 샤워부스 바닥타일 3장 탈락 코킹처리</t>
  </si>
  <si>
    <t>A-804-4, B-802-1 욕실 코킹작업 추가보수</t>
  </si>
  <si>
    <t>어린이집 실외놀이터 누수보수</t>
  </si>
  <si>
    <t>B-402-3, B-202-3 우수관 실리콘 작업</t>
  </si>
  <si>
    <t>103-301 에어컨 콘센트 탄화 교체건 관련 점검</t>
  </si>
  <si>
    <t>●(전기 최소인건비) 576,200원 * 1건(8월)=57,6200원(★1건) [5건↓ 1회 적용],자재비 제외_비용 추정(보수적)</t>
    <phoneticPr fontId="1" type="noConversion"/>
  </si>
  <si>
    <t>●(전기 최소인건비) 576,200원 * 1건(1월)=57,6200원(★1건) [5건↓ 1회 적용],자재비 제외_비용 추정(보수적)</t>
    <phoneticPr fontId="1" type="noConversion"/>
  </si>
  <si>
    <t>●공용부(화학포함) 비용 배분
→공용 집행비의 10%추정 향후 확인후 조정</t>
    <phoneticPr fontId="1" type="noConversion"/>
  </si>
  <si>
    <t>공용부 분리 관리</t>
    <phoneticPr fontId="1" type="noConversion"/>
  </si>
  <si>
    <t>사택 2-408 씽크대 상하부장 문짝교체</t>
    <phoneticPr fontId="1" type="noConversion"/>
  </si>
  <si>
    <t>사택 2-305 씽크대 상하부장 문짝교체</t>
    <phoneticPr fontId="1" type="noConversion"/>
  </si>
  <si>
    <t>사택 103-104 세대내 고장 보일러 납품</t>
    <phoneticPr fontId="1" type="noConversion"/>
  </si>
  <si>
    <t>[전환]사택 2-408 주방벽 타일교체</t>
    <phoneticPr fontId="1" type="noConversion"/>
  </si>
  <si>
    <t>[전환]사택 2-305 주방벽 타일교체</t>
    <phoneticPr fontId="1" type="noConversion"/>
  </si>
  <si>
    <t>씽크대 상하부장 문짝교체</t>
    <phoneticPr fontId="1" type="noConversion"/>
  </si>
  <si>
    <t>사택 9-103 씽크대 상하부장 문짝교체</t>
    <phoneticPr fontId="1" type="noConversion"/>
  </si>
  <si>
    <t>사택 2-102 씽크대 상하부장 문짝교체</t>
    <phoneticPr fontId="1" type="noConversion"/>
  </si>
  <si>
    <t>사택 5-406 씽크대 상하부장 문짝교체</t>
    <phoneticPr fontId="1" type="noConversion"/>
  </si>
  <si>
    <t>사택 5동 지하 주차장 비상계단 방화문 교체</t>
    <phoneticPr fontId="1" type="noConversion"/>
  </si>
  <si>
    <t>기숙사 B동 1001호옆 발코니 타일교체</t>
    <phoneticPr fontId="1" type="noConversion"/>
  </si>
  <si>
    <t>사택 어린이집 현관 차양막 추가 설치(전기)</t>
    <phoneticPr fontId="1" type="noConversion"/>
  </si>
  <si>
    <t>● 11월 PO 감액 및 파기
견적 인원(4인)▶실제 투입 (0인)
▷특별인부: 3인
▷도장공: 1인</t>
    <phoneticPr fontId="1" type="noConversion"/>
  </si>
  <si>
    <t>● 11월 PO 감액 및 파기
견적 인원(8인)▶실제 투입 (3인)
219,321(정부노임)*3인(특별인부)
▷ 657,963원 실비정산 예정(Fee 제외)</t>
    <phoneticPr fontId="1" type="noConversion"/>
  </si>
  <si>
    <t>● 11월 PO 감액 및 파기
▷신규 (표준단가 시공사) X
▶차양막 설치 업체 무상 시공 ○</t>
    <phoneticPr fontId="1" type="noConversion"/>
  </si>
  <si>
    <t>사택 103-402외 37 세대내 보일러 납품</t>
    <phoneticPr fontId="1" type="noConversion"/>
  </si>
  <si>
    <t>사택 9-503 세대내 고장 보일러 납품</t>
    <phoneticPr fontId="1" type="noConversion"/>
  </si>
  <si>
    <t>사택 7-207외 2세대(406,407) LED등기구 교체</t>
    <phoneticPr fontId="1" type="noConversion"/>
  </si>
  <si>
    <t>● 3세대씩 묶음
→[25년 1,510,375(3세대) - 24년 890,100(1세대_Avg.)*3] ]=-1,162,925원</t>
    <phoneticPr fontId="1" type="noConversion"/>
  </si>
  <si>
    <t>사택 8-303 씽크대 상하부장 문짝교체</t>
    <phoneticPr fontId="1" type="noConversion"/>
  </si>
  <si>
    <t>사택 8-302 씽크대 상하부장 문짝교체</t>
    <phoneticPr fontId="1" type="noConversion"/>
  </si>
  <si>
    <t>사택 5-403 씽크대 상하부장 문짝교체</t>
    <phoneticPr fontId="1" type="noConversion"/>
  </si>
  <si>
    <t>기숙사 및 사택 긴급보수 작업 1차-9차 (건축)</t>
    <phoneticPr fontId="1" type="noConversion"/>
  </si>
  <si>
    <t>●일일 투입 인원 Vs 실작업 절감 시간 반영(시공사)
→ 근로자 서명지 Vs 작업 시간 감안 시공사 직접 조정(관리소 서명지 참조)
→ [147명]*219,321원(특별인부)*Fee(7.5%)=34,658,201원
→ [124.5명]*219,321원(특별인부)*Fee(7.5%)=29,35,3374원</t>
    <phoneticPr fontId="1" type="noConversion"/>
  </si>
  <si>
    <t>7-407 디지털도어락 교체</t>
  </si>
  <si>
    <t>9-503 디지털도어락 교체</t>
  </si>
  <si>
    <t>8-503 디지털도어락 교체</t>
  </si>
  <si>
    <t>A-501-2 욕실 타일 실리콘 작업</t>
  </si>
  <si>
    <t>A-201-6 욕실 샤워기 앞 바닥타일 탈락 실리콘 작업</t>
  </si>
  <si>
    <t>B-401-3 욕실 샤워기 앞 바닥타일 탈락 실리콘 작업</t>
  </si>
  <si>
    <t>B-402-2 욕실 샤워기 앞 바닥타일 코킹작업</t>
  </si>
  <si>
    <t>2-304 욕실 양문형 수건수납장 교체</t>
  </si>
  <si>
    <t xml:space="preserve"> B-801 공동 현관문 디지털도어락 교체</t>
  </si>
  <si>
    <t>A-403-4 욕실 샤워부스 바닥타일 1개 탈락 코킹작업</t>
  </si>
  <si>
    <t>A303-1 난방불량 점검결과 컨트롤러 휴즈 단선으로 교체</t>
  </si>
  <si>
    <t>A303-2 난방구동기 불량으로 교체</t>
  </si>
  <si>
    <t>B-801-4 욕실 벽타일 줄눈 보수 작업</t>
  </si>
  <si>
    <t>B-401-4 욕실 샤워부스 하부쪽 실리콘 보수 작업</t>
  </si>
  <si>
    <t xml:space="preserve"> 3-309 디지털도어락 레버불량 - 디지털도어락 교체</t>
  </si>
  <si>
    <t>B-803 전체 구동기 및 핀밸브 점검, 보수</t>
  </si>
  <si>
    <t>A-404-5 욕실 바닥 타일 3장 보수</t>
  </si>
  <si>
    <t>A-802- 6 구동기불량으로 교체</t>
  </si>
  <si>
    <t>AB동 관리사무실 출입문 힌지 교체 : KING-8500</t>
  </si>
  <si>
    <t>3-302 디지털 도어락 교체</t>
  </si>
  <si>
    <t>A-1002-5 욕실 바닥타일 실리콘 작업</t>
  </si>
  <si>
    <t>A-1001-3 난방불량 - 구동기 제어 퓨즈파손으로 교체</t>
  </si>
  <si>
    <t>A-1001-6 구동기 핀밸브 고착 보수</t>
  </si>
  <si>
    <t>A-1001-5 난방불량 - 구동기 불량으로 교체</t>
  </si>
  <si>
    <t>2-101 뒷베란다 천장 점검구 누수 - 배수배관 
내부 이물질 제거, PVC 접착제 도포, 실리콘 마감</t>
    <phoneticPr fontId="1" type="noConversion"/>
  </si>
  <si>
    <t>A동 1층 남자 장애인화장실 천장 누수 -A-204-6 
샤워기 하부 UBR 타공부위 실리콘 보수</t>
    <phoneticPr fontId="1" type="noConversion"/>
  </si>
  <si>
    <t>A동 1층 남자 장애인 화장실 천장 누수 보수  - A-204-6
세면대 하부 UBR 타공부위 실리콘 보수</t>
    <phoneticPr fontId="1" type="noConversion"/>
  </si>
  <si>
    <t>8동 지하주차장 입구 천장 누수 - 8동 1, 2라인 
필로티 바닥 폐쇄된 하수관 주변 백시맨트 작업</t>
    <phoneticPr fontId="1" type="noConversion"/>
  </si>
  <si>
    <t xml:space="preserve"> B-902-6 욕실 바닥타일 4장 고정작업. 
벽타일 줄눈 실리콘 작업</t>
    <phoneticPr fontId="1" type="noConversion"/>
  </si>
  <si>
    <t xml:space="preserve">A-801 공용주방 씽크대 바닥누수- 바닥배관 분리후 호스연장 및 정수기 호스 재설치 </t>
    <phoneticPr fontId="1" type="noConversion"/>
  </si>
  <si>
    <t>101-204 디지털도어락 고장으로 교체</t>
    <phoneticPr fontId="1" type="noConversion"/>
  </si>
  <si>
    <t>관리소(건축 전환)</t>
    <phoneticPr fontId="1" type="noConversion"/>
  </si>
  <si>
    <t>●24년 상반기 1세대 집행비 : 603,075</t>
    <phoneticPr fontId="1" type="noConversion"/>
  </si>
  <si>
    <t>긴급 기계 보수(후정산)</t>
    <phoneticPr fontId="1" type="noConversion"/>
  </si>
  <si>
    <t>기숙사 및 사택 긴급보수 작업(기계)-1차</t>
    <phoneticPr fontId="1" type="noConversion"/>
  </si>
  <si>
    <t>●24년 상반기 1세대 집행비 : 603,075(기계 최소 인건비))
→ '24년 기준 : 16세대 *  603,075= 9,649,200
→ '25년 묶음 : 16세대 *  356,631= 5,706,100</t>
    <phoneticPr fontId="1" type="noConversion"/>
  </si>
  <si>
    <t>●24년 상반기 실 집행비(1세대) 실적 :1,327,625
→ 공구기구성 전환(발주유형 변경)
→ 대당 약 252,625원 절감</t>
    <phoneticPr fontId="1" type="noConversion"/>
  </si>
  <si>
    <t>5-101 주방 씽크대 배수관 이물질 제거 및 배관보강 작업</t>
  </si>
  <si>
    <t>5-306 씽크대 누수 - 씽크대 원홀수전 누수로 수전 교체</t>
  </si>
  <si>
    <t>A-504-4 욕실 타일 실리콘 작업</t>
  </si>
  <si>
    <t>A-304-3 욕실 타일 실리콘 작업</t>
  </si>
  <si>
    <t>B-904-3 욕실 바닥타일 실리콘 작업</t>
  </si>
  <si>
    <t>A-204 주방 씽크대수전 누수로 교체</t>
  </si>
  <si>
    <t>A-404 주방 씽크대 수전 교체</t>
  </si>
  <si>
    <t>A동 802-6 발코니 방충망 하단 보수</t>
  </si>
  <si>
    <t>B-903-5  방충망 하단 보수</t>
  </si>
  <si>
    <t>B-602-1 욕실 샤워부스 하단 실리콘 보강 작업</t>
  </si>
  <si>
    <t>신축사택 지하 음식물 처리기 앞 천장 하수관 누수
- 연결부 풀림발생으로 조임처리</t>
    <phoneticPr fontId="1" type="noConversion"/>
  </si>
  <si>
    <t>A-702-3 샤워기, 세면대 냉온수 반대로 나옴 샤워기 온수 사용중 냉수 나옴
- 호실 냉, 온수 배관 반대로 설치되어 분리 후 정상설치 처리
- 샤워기 몸통 이물질 제거 통수. 샤워헤드, 줄 교체 처리 후 정상</t>
    <phoneticPr fontId="1" type="noConversion"/>
  </si>
  <si>
    <t>8-306 주방 등기구 누수발생
- 8-406 주방 점검 및 씽크대 하부 온수 고압호스 누수로 고압호스 교체</t>
    <phoneticPr fontId="1" type="noConversion"/>
  </si>
  <si>
    <t xml:space="preserve">A-404-1 난방 제어불량 
- 용주방 모터 컨트롤러 퓨즈 1개, 구동기 1개 교체 </t>
    <phoneticPr fontId="1" type="noConversion"/>
  </si>
  <si>
    <t>A동 802-6 방 램프 FPL36W 2개, 발코니 방충망 하단 보수</t>
    <phoneticPr fontId="1" type="noConversion"/>
  </si>
  <si>
    <t>A-201-1 난방 온도 높음 - 구동기 점검 및 핀밸브 고차 수리</t>
    <phoneticPr fontId="1" type="noConversion"/>
  </si>
  <si>
    <t xml:space="preserve">A-804-5 난방불량 - 핀밸브 보수 </t>
  </si>
  <si>
    <t>2-102 베란다 문, 욕실 문 스토퍼 교체</t>
  </si>
  <si>
    <t>2-102 욕실 양문형 수납장, 벽 거울 교체</t>
  </si>
  <si>
    <t xml:space="preserve"> B-1001-1 난방불량 - 인서트 밸브 수리</t>
  </si>
  <si>
    <t>8-207 욕실 세면대 양홀 수전 교체</t>
  </si>
  <si>
    <t>B-1004 난방 구동기 메인 콘트롤러(6존형) 고장으로 교체</t>
  </si>
  <si>
    <t>8-204 욕실 문 스토퍼, 현관 도어크로져 누유로 교체</t>
  </si>
  <si>
    <t>A-202-3 난방불량 - 구동기 핀밸브 고착으로 수리</t>
  </si>
  <si>
    <t>어린이집 햇님반 구동기(교사실용) 1개 보수</t>
  </si>
  <si>
    <t xml:space="preserve"> 7-207 현관 디지털도어락 고장으로 교체</t>
  </si>
  <si>
    <t>사택 2-206 씽크대 상하부장 문짝교체</t>
  </si>
  <si>
    <t>사택 2-302 씽크대 상하부장 문짝교체</t>
  </si>
  <si>
    <t>사택 8-205 씽크대 상하부장 문짝교체</t>
  </si>
  <si>
    <t>긴급 건축 보수(후정산)</t>
    <phoneticPr fontId="1" type="noConversion"/>
  </si>
  <si>
    <t>사택 2-401 씽크대 상하부장 문짝교체</t>
  </si>
  <si>
    <t>사택 5-206 씽크대 상하부장 문짝교체</t>
  </si>
  <si>
    <t>사택 5-505 씽크대 상하부장 문짝교체</t>
  </si>
  <si>
    <t>사택 7동 LED등 교체</t>
    <phoneticPr fontId="1" type="noConversion"/>
  </si>
  <si>
    <t>사택 7-307외 1세대(402) LED등기구 교체</t>
    <phoneticPr fontId="1" type="noConversion"/>
  </si>
  <si>
    <t>●2세대 묶음 (최대 3세대씩 묶음  '26년 시공사 협의 완료)
→[26년 1,199,700(2세대) - 24년 890,100(1세대_Avg.)*2]=-580,500원</t>
    <phoneticPr fontId="1" type="noConversion"/>
  </si>
  <si>
    <t>●(건축 최소인건비) 506,325원* 2회 (5월)=1,012,650원(★11건)
 [5건↑ 2회 적용],자재비 제외_비용 추정(보수적)</t>
    <phoneticPr fontId="1" type="noConversion"/>
  </si>
  <si>
    <t>●(건축 최소인건비) 506,325원* 2회 (6월)=1,012,650원(★6건) 
[6건↑ 2회 적용],자재비 제외_비용 추정(보수적)</t>
    <phoneticPr fontId="1" type="noConversion"/>
  </si>
  <si>
    <t>●(기계 최소인건비) 520,300원* 1회 (6월)=520,300원(★1건) 
[5건↓ 1회 적용],자재비 제외_비용 추정(보수적)</t>
    <phoneticPr fontId="1" type="noConversion"/>
  </si>
  <si>
    <t>●(건축 최소인건비) 506,325원* 2회 (7월)=1,012,650원(★6건)
[5건↑ 2회 적용],자재비 제외_비용 추정(보수적)</t>
    <phoneticPr fontId="1" type="noConversion"/>
  </si>
  <si>
    <t>●(기계 최소인건비) 520,300원* 1회 (7월)=520,300원(★3건)
[5건↓ 1회 적용],자재비 제외_비용 추정(보수적)</t>
    <phoneticPr fontId="1" type="noConversion"/>
  </si>
  <si>
    <t>●(건축 최소인건비) 506,325원* 1회 (8월)=506,325원(★2건)
[5건↓ 1회 적용],자재비 제외_비용 추정(보수적)</t>
    <phoneticPr fontId="1" type="noConversion"/>
  </si>
  <si>
    <t>●(기계 최소인건비) 520,300원* 1회 (8월)=520,300원(★1건) 
[5건↓ 1회 적용],자재비 제외_비용 추정(보수적)</t>
    <phoneticPr fontId="1" type="noConversion"/>
  </si>
  <si>
    <t>●(건축 최소인건비) 506,325원* 2회 (9월)=1,012,650원(★10건)
 [5건↑ 2회 적용],자재비 제외_비용 추정(보수적)</t>
    <phoneticPr fontId="1" type="noConversion"/>
  </si>
  <si>
    <t>●(기계 최소인건비) 520,300원* 1회 (9월)=520,300원(★1건) 
[5건↓ 1회 적용],자재비 제외_비용 추정(보수적)</t>
    <phoneticPr fontId="1" type="noConversion"/>
  </si>
  <si>
    <t>●(건축 최소인건비) 506,325원* 2회 (10월)=1,012,650원(★7건) 
[5건↑ 2회 적용],자재비 제외_비용 추정(보수적)</t>
    <phoneticPr fontId="1" type="noConversion"/>
  </si>
  <si>
    <t>●(기계 최소인건비) 520,300원* 1회 (10월)=520,300원(★2건) 
[5건↓ 1회 적용],자재비 제외_비용 추정(보수적)</t>
    <phoneticPr fontId="1" type="noConversion"/>
  </si>
  <si>
    <t>●(기계 최소인건비) 520,300원* 2회 (11월)=1,040,600원(★5건)
 [5건↑ 2회 적용],자재비 제외_비용 추정(보수적)</t>
    <phoneticPr fontId="1" type="noConversion"/>
  </si>
  <si>
    <t>●(건축 최소인건비) 506,325원* 2회 (11월)=1,012,650원(★5건)
 [5건↑ 2회 적용],자재비 제외_비용 추정(보수적)</t>
    <phoneticPr fontId="1" type="noConversion"/>
  </si>
  <si>
    <t>●(기계 최소인건비) 520,300원* 2회 (1월)=1,040,600원(★9건) 
[5건↑ 2회 적용],자재비 제외_비용 추정(보수적)</t>
    <phoneticPr fontId="1" type="noConversion"/>
  </si>
  <si>
    <t>●(건축 최소인건비) 506,325원* 2회 (1월)=1,012,650원(★6건)
 [5건↑ 2회 적용],자재비 제외_비용 추정(보수적)</t>
    <phoneticPr fontId="1" type="noConversion"/>
  </si>
  <si>
    <t>●(전기 최소인건비) 576,200원 * 1건(1월)=57,6200원(★1건) 
[5건↓ 1회 적용],자재비 제외_비용 추정(보수적)</t>
    <phoneticPr fontId="1" type="noConversion"/>
  </si>
  <si>
    <t>●(기계 최소인건비) 520,300원* 2회 (1월)=1,040,600원(★6건) 
[5건↑ 2회 적용],자재비 제외_비용 추정(보수적)</t>
    <phoneticPr fontId="1" type="noConversion"/>
  </si>
  <si>
    <t>●(건축 최소인건비) 506,325원* 1회 (2월)=506,325원(★4건) 
[5건↓ 1회 적용],자재비 제외_비용 추정(보수적)</t>
    <phoneticPr fontId="1" type="noConversion"/>
  </si>
  <si>
    <t>기숙사 및 사택 긴급 보수(건축)-1차</t>
    <phoneticPr fontId="1" type="noConversion"/>
  </si>
  <si>
    <t>■ 26년 건축 긴급 대응 1월-4월 정산 현황
◎ '26년 상반기 공종별 노임단가
→특별인부: 224,490원/도장공:258,362원
◎ 관리소 관리 대장 근로자 서명란 서명: 58인
→[특별인부:56인+도장2인]
◎ 시공사 관리자 실비 청구 인원: 44인
→[특별인부:42인+도장2인]</t>
    <phoneticPr fontId="1" type="noConversion"/>
  </si>
  <si>
    <t>기숙사 및 사택 긴급 보수(기계)-1차</t>
    <phoneticPr fontId="1" type="noConversion"/>
  </si>
  <si>
    <t>■ 26년 기계 긴급 대응 1월-4월 정산 현황
◎ '25년 기계 최소인건비 적용(자재비 제외)
→1건당 520,300원 (2인 1조)
◎ 관리소 작업 목록 : 11건(8세대) =&gt;총 22인
◎ 시공사 정산: 8인(배관공) + 3인(보통인부)</t>
    <phoneticPr fontId="1" type="noConversion"/>
  </si>
  <si>
    <t>사택 5동  및 9동 지붕 점검</t>
    <phoneticPr fontId="1" type="noConversion"/>
  </si>
  <si>
    <t>■ 사택 1동 지붕 점검 (화학)건 과 묶음
→ 화학: PO 1,744,725 원
→ 5동 3-4 라인(무동력 휀 소음)
→ 9동 지붕 기와 타공부 실측후 상부 점검</t>
    <phoneticPr fontId="1" type="noConversion"/>
  </si>
  <si>
    <t>기숙사 AB동 EHP 수리</t>
    <phoneticPr fontId="1" type="noConversion"/>
  </si>
  <si>
    <t>기숙사 A동 401-1호외 21세대 친환경 도장</t>
    <phoneticPr fontId="1" type="noConversion"/>
  </si>
  <si>
    <t>■ 기숙사 AB동 EHP 수리 절감
→25년 12월~26년 3월 EHP 수리비 취합: 8,231,500 원
→26년 전수 재점검(하이엠): 3,212,000(매입)/3,452,900(Fee포함)</t>
    <phoneticPr fontId="1" type="noConversion"/>
  </si>
  <si>
    <t>■ 기숙사동 친환경 도장 (도배--&gt;도장)
→(25년 실적)기숙사 A동 702-3 도배보수
.....실적가(Fee 포함) : 420,325원/1세대 벽면만 적용
→도배 적용시 예상 : =420,325*22세대 =&gt;9,247,150원
※ 필요한 부분은 관리소에서 지정(시공사 관여 X)
※ 기숙사동은 기존 도배지 훼손 정도가 심하지 않음</t>
    <phoneticPr fontId="1" type="noConversion"/>
  </si>
  <si>
    <t>대상열</t>
  </si>
  <si>
    <t>검색텍스트</t>
  </si>
  <si>
    <t>링크URL</t>
  </si>
  <si>
    <t>링크유형</t>
  </si>
  <si>
    <t>설명</t>
  </si>
  <si>
    <t>절감항목</t>
  </si>
  <si>
    <t>https://photos.app.goo.gl/ZSpjCao7BtfsuDmU8</t>
  </si>
  <si>
    <t>detail</t>
  </si>
  <si>
    <t>절감항목 상세 정보</t>
  </si>
  <si>
    <t>https://photos.app.goo.gl/VysKu4vh8CJci2s38</t>
  </si>
  <si>
    <t>기숙사 및 사택 긴급보수 작업(건축)-1차</t>
  </si>
  <si>
    <t>https://photos.app.goo.gl/kgQVvQyvHmAoMDcq7</t>
  </si>
  <si>
    <t>https://photos.app.goo.gl/wi2X32C25LtwxwV17</t>
  </si>
  <si>
    <t>https://photos.app.goo.gl/orM3oQ4oymfL2sAGA</t>
  </si>
  <si>
    <t>https://photos.app.goo.gl/EzqSAa5XAneNd5E47</t>
  </si>
  <si>
    <t>비고</t>
  </si>
  <si>
    <t>기계 최소인건비</t>
  </si>
  <si>
    <t>https://photos.app.goo.gl/od8H1Cn9ZXcyttq6A</t>
  </si>
  <si>
    <t>note</t>
  </si>
  <si>
    <t>최소인건비 정보</t>
  </si>
  <si>
    <t>건축 최소인건비</t>
  </si>
  <si>
    <t>https://photos.app.goo.gl/RY4GxypvWKuGJnuu7</t>
  </si>
  <si>
    <t>전기 최소인건비</t>
  </si>
  <si>
    <t>https://photos.app.goo.gl/htiYjUpzb8U7YtdW8</t>
  </si>
  <si>
    <t>비용 추정(보수적)</t>
  </si>
  <si>
    <t>https://photos.app.goo.gl/RmJhxWhF3xZW7zAu8</t>
  </si>
  <si>
    <t>비고 상세 정보</t>
  </si>
  <si>
    <t>요청접수(1월14일)</t>
  </si>
  <si>
    <t>https://photos.app.goo.gl/WMehbYAxp5ZUNSUE8</t>
  </si>
  <si>
    <t>23년 씽크대 18세대</t>
  </si>
  <si>
    <t>https://photos.app.goo.gl/eiU2VYpMFNT8PX1D7</t>
  </si>
  <si>
    <t>23년 주방 타일벽 21세대</t>
  </si>
  <si>
    <t>https://photos.app.goo.gl/j7nuZaQ8sARn1h3C6</t>
  </si>
  <si>
    <t>계약파기_거실 장판</t>
  </si>
  <si>
    <t>https://photos.app.goo.gl/7hoys9fTBzYr2cyQ7</t>
  </si>
  <si>
    <t>24년 베란다 다용도실 집행비</t>
  </si>
  <si>
    <t>https://photos.app.goo.gl/9M31187x7fmyr8iy8</t>
  </si>
  <si>
    <t>공용부(화학포함) 비용 배분</t>
  </si>
  <si>
    <t>https://photos.app.goo.gl/3wazfKwu66Jgq8dW7</t>
  </si>
  <si>
    <t>(EHP 주말할증)</t>
  </si>
  <si>
    <t>https://photos.app.goo.gl/2EbphF7nE2twMgt49</t>
  </si>
  <si>
    <t>(전열교환기 주말할증)</t>
  </si>
  <si>
    <t>https://photos.app.goo.gl/GzkjdK5qMLYUmmKU9</t>
  </si>
  <si>
    <t>5동 지붕 고장 무동력 휀 교체</t>
  </si>
  <si>
    <t>https://photos.app.goo.gl/RtR5g3gpwDWGxgRr6</t>
  </si>
  <si>
    <t>일일 투입 인원 Vs 실작업 절감 시간 반영</t>
  </si>
  <si>
    <t>케이블 단선</t>
  </si>
  <si>
    <t>https://photos.app.goo.gl/tiUXXBhV99hLo6sR9</t>
  </si>
  <si>
    <t>11월 PO 감액 및 파기</t>
  </si>
  <si>
    <t>https://photos.app.goo.gl/tAqJX7MqbXj3oKue9</t>
  </si>
  <si>
    <t>일일 투입 인원 Vs 실작업 절감 시간 반영(시공사)</t>
  </si>
  <si>
    <t>https://photos.app.goo.gl/zjfdM54KZeh6DwuJ7</t>
  </si>
  <si>
    <t>24년 상반기 1세대 집행비 : 603,075(기계 최소 인건비)</t>
  </si>
  <si>
    <t>■ 26년 건축 긴급 대응 1월-4월 정산 현황</t>
  </si>
  <si>
    <t>https://photos.app.goo.gl/aawQyJrVkvhtDQPA9</t>
  </si>
  <si>
    <t>■ 26년 기계 긴급 대응 1월-4월 정산 현황</t>
  </si>
  <si>
    <t>https://photos.app.goo.gl/oGUCu9QxgNdEXi7VA</t>
  </si>
  <si>
    <t>■ 사택 1동 지붕 점검 (화학)건</t>
  </si>
  <si>
    <t>https://photos.app.goo.gl/L9KBLWC6SS7c8wkj8</t>
  </si>
  <si>
    <t>■ 기숙사 AB동 EHP 수리 절감</t>
  </si>
  <si>
    <t>https://photos.app.goo.gl/AQZ1e9w8ea5tdMqd6</t>
  </si>
  <si>
    <t>■ 기숙사동 친환경 도장</t>
  </si>
  <si>
    <t>https://photos.app.goo.gl/dRjkjxY1s7JUkN847</t>
  </si>
  <si>
    <t>어린이집 1층 세면대 수리시 2층 묶음(무상 처리)</t>
    <phoneticPr fontId="1" type="noConversion"/>
  </si>
  <si>
    <t>https://photos.app.goo.gl/ot4t192AUqLwPsMbA</t>
    <phoneticPr fontId="1" type="noConversion"/>
  </si>
  <si>
    <t>https://photos.app.goo.gl/zV6ZG6ftCHqfXy6DA</t>
    <phoneticPr fontId="1" type="noConversion"/>
  </si>
  <si>
    <t>●24년 상반기 1세대 집행비 : 603,075(기계 최소 인건비))
5월 3세대 묶음 : 8-107(분배기)+2-208(건조대)+8-410(건조대)</t>
    <phoneticPr fontId="1" type="noConversion"/>
  </si>
  <si>
    <t>5월 3세대 묶음</t>
    <phoneticPr fontId="1" type="noConversion"/>
  </si>
  <si>
    <t>5월 어린이집 2층 세면대 수리 : 70,1975원</t>
    <phoneticPr fontId="1" type="noConversion"/>
  </si>
  <si>
    <t>5월 어린이집 2층</t>
    <phoneticPr fontId="1" type="noConversion"/>
  </si>
  <si>
    <t>기숙사 및 사택 긴급 보수(기계)-2차</t>
    <phoneticPr fontId="1" type="noConversion"/>
  </si>
  <si>
    <t>◆◆◆접수견적 기준</t>
  </si>
  <si>
    <r>
      <t xml:space="preserve">●●● 냉온수 수전=2건/위생도기=3건/분배기=4건/건조대=1건
◎6월10일~11일(2일)간_7인 묶음 작업
-2-105(분배기 교체)/7-104 (양변기 교체)
-8-107(세탁기 냉온수 수전)/8-107(세면기 교체)
-8-207(세탁기 냉온수 수전)/8-207(양변기 교체)
-8-207(분배기 교체)/8-207(빨래 건조대 설치)
-8-504(분배기 교체)/9-301(분배기 교체) 
※※※07월~08월말 절감액 확정 예정
</t>
    </r>
    <r>
      <rPr>
        <sz val="11"/>
        <color theme="1"/>
        <rFont val="맑은 고딕"/>
        <family val="3"/>
        <charset val="129"/>
        <scheme val="minor"/>
      </rPr>
      <t>→산식=((3,330,000)*1.075(Fee)_실투입 적용후 취합(배포중)</t>
    </r>
    <r>
      <rPr>
        <sz val="11"/>
        <color theme="1"/>
        <rFont val="맑은 고딕"/>
        <family val="2"/>
        <charset val="129"/>
        <scheme val="minor"/>
      </rPr>
      <t xml:space="preserve">
◆◆◆접수견적 기준
-세탁기용 냉온수 수전 및 세면대 교체 : 1건당=&gt; 2,054,000(견적 접수)
-위생도기 교체 : 1건당 =&gt; 705,000 (견적 접수)
-난방분배기 및 빨래건조대 : 1건당 =&gt; 603,075(최소인건비)
▶산식=((2,054,000*2)+(705,000*1)+(603,075*5))*1.075(Fee)</t>
    </r>
    <phoneticPr fontId="1" type="noConversion"/>
  </si>
  <si>
    <t>●●● 소변기=3건/분배기=3건/세면대=1건
◎7월20일~21일(2일)간_4인 묶음 작업
-2-408(세면대 1대 교체)
-5동 경비실 (소변기 1대 교체)
-8-302(분배기 교체)
-8-508(분배기 교체)
-9-402(분배기 교체)
※※※07월~08월말 절감액 확정 예정
▶산식=((1,900,000)*1.075(Fee)_실투입 적용후 취합(배포중)
◆◆◆접수견적 기준
-5동 경비실 소변기 교체=&gt;705,000(접수 견적)
-난방 분배기 1대 교체=&gt;670,000(접수 견적)
-세대기 1대 교체=&gt;661,000(접수 견적)
▶산식=(705,000+(670,000*3)+661,000)*1.075(Fee)</t>
    <phoneticPr fontId="1" type="noConversion"/>
  </si>
  <si>
    <t>기숙사 및 사택 긴급 보수(건축)-3차</t>
    <phoneticPr fontId="1" type="noConversion"/>
  </si>
  <si>
    <t>■ 26년 건축 긴급 대응 4월-7월 정산 현황
◆◆◆접수견적 기준
◎ '26년 상반기 공종별 노임단가
→특별인부: 224,490원/도장공:258,362원
→관리소 관리 대장 근로자 서명란 서명: 58인
→시공사 관리자 실비 청구 인원(검증): 44인</t>
    <phoneticPr fontId="1" type="noConversion"/>
  </si>
  <si>
    <t>https://photos.app.goo.gl/3tJTAcuxYdqK2JJAA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</si>
</sst>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-* #,##0.0_-;\-* #,##0.0_-;_-* &quot;-&quot;?_-;_-@_-"/>
    <numFmt numFmtId="177" formatCode="#,##0_ "/>
  </numFmts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2"/>
      <color theme="1" tint="0.34998626667073579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2" fillId="0" borderId="0" xfId="0" applyFont="1">
      <alignment vertical="center"/>
    </xf>
    <xf numFmtId="41" fontId="0" fillId="0" borderId="0" xfId="0" applyNumberFormat="1">
      <alignment vertical="center"/>
    </xf>
    <xf numFmtId="0" fontId="3" fillId="0" borderId="0" xfId="0" applyFont="1">
      <alignment vertical="center"/>
    </xf>
    <xf numFmtId="0" fontId="4" fillId="2" borderId="0" xfId="0" applyFont="1" applyFill="1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41" fontId="0" fillId="0" borderId="0" xfId="1" applyFont="1">
      <alignment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41" fontId="0" fillId="0" borderId="0" xfId="1" applyFont="1" applyAlignment="1">
      <alignment horizontal="center" vertical="center"/>
    </xf>
    <xf numFmtId="49" fontId="0" fillId="0" borderId="0" xfId="1" quotePrefix="1" applyNumberFormat="1" applyFont="1" applyFill="1" applyAlignment="1">
      <alignment vertical="center" wrapText="1"/>
    </xf>
    <xf numFmtId="49" fontId="4" fillId="2" borderId="0" xfId="0" applyNumberFormat="1" applyFont="1" applyFill="1" applyAlignment="1">
      <alignment horizontal="center" vertical="center"/>
    </xf>
    <xf numFmtId="49" fontId="0" fillId="0" borderId="0" xfId="0" quotePrefix="1" applyNumberFormat="1" applyAlignment="1">
      <alignment vertical="center" wrapText="1"/>
    </xf>
    <xf numFmtId="49" fontId="0" fillId="0" borderId="0" xfId="0" applyNumberFormat="1">
      <alignment vertical="center"/>
    </xf>
    <xf numFmtId="176" fontId="0" fillId="0" borderId="0" xfId="0" quotePrefix="1" applyNumberFormat="1" applyAlignment="1">
      <alignment vertical="center" wrapText="1"/>
    </xf>
    <xf numFmtId="49" fontId="7" fillId="0" borderId="0" xfId="1" quotePrefix="1" applyNumberFormat="1" applyFont="1" applyFill="1" applyAlignment="1">
      <alignment vertical="center" wrapText="1"/>
    </xf>
    <xf numFmtId="14" fontId="3" fillId="0" borderId="0" xfId="0" applyNumberFormat="1" applyFont="1" applyAlignment="1">
      <alignment horizontal="center" vertical="center"/>
    </xf>
    <xf numFmtId="41" fontId="2" fillId="0" borderId="0" xfId="0" applyNumberFormat="1" applyFont="1" applyAlignment="1">
      <alignment horizontal="center" vertical="center"/>
    </xf>
    <xf numFmtId="49" fontId="2" fillId="0" borderId="0" xfId="1" quotePrefix="1" applyNumberFormat="1" applyFont="1" applyFill="1" applyAlignment="1">
      <alignment vertical="center" wrapText="1"/>
    </xf>
    <xf numFmtId="177" fontId="8" fillId="0" borderId="0" xfId="1" applyNumberFormat="1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3" fontId="0" fillId="0" borderId="0" xfId="0" applyNumberFormat="1">
      <alignment vertical="center"/>
    </xf>
    <xf numFmtId="41" fontId="0" fillId="0" borderId="0" xfId="1" applyFont="1" applyFill="1">
      <alignment vertical="center"/>
    </xf>
    <xf numFmtId="41" fontId="4" fillId="2" borderId="0" xfId="1" applyFont="1" applyFill="1" applyAlignment="1">
      <alignment horizontal="center" vertical="center"/>
    </xf>
    <xf numFmtId="41" fontId="2" fillId="0" borderId="0" xfId="1" applyFont="1" applyAlignment="1">
      <alignment horizontal="center" vertical="center"/>
    </xf>
    <xf numFmtId="49" fontId="0" fillId="0" borderId="0" xfId="0" applyNumberFormat="1" applyAlignment="1">
      <alignment vertical="center" wrapText="1"/>
    </xf>
    <xf numFmtId="0" fontId="0" fillId="0" borderId="0" xfId="0" quotePrefix="1">
      <alignment vertical="center"/>
    </xf>
    <xf numFmtId="0" fontId="9" fillId="0" borderId="0" xfId="2">
      <alignment vertic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colors>
    <mruColors>
      <color rgb="FFFF00FF"/>
      <color rgb="FFF2F2F2"/>
      <color rgb="FFC8C8DA"/>
      <color rgb="FF0000FF"/>
      <color rgb="FFE4E4E4"/>
      <color rgb="FFFF0000"/>
      <color rgb="FFFB0505"/>
      <color rgb="FFEE0000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photos.app.goo.gl/3tJTAcuxYdqK2JJAA" TargetMode="External"/><Relationship Id="rId2" Type="http://schemas.openxmlformats.org/officeDocument/2006/relationships/hyperlink" Target="https://photos.app.goo.gl/zV6ZG6ftCHqfXy6DA" TargetMode="External"/><Relationship Id="rId1" Type="http://schemas.openxmlformats.org/officeDocument/2006/relationships/hyperlink" Target="https://photos.app.goo.gl/ot4t192AUqLwPsMb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C9B1D-14EA-4196-B5BB-11FE982FB7D8}">
  <sheetPr>
    <tabColor rgb="FFFFFF00"/>
  </sheetPr>
  <dimension ref="A3:J257"/>
  <sheetViews>
    <sheetView zoomScaleNormal="100" workbookViewId="0">
      <pane xSplit="1" ySplit="3" topLeftCell="B255" activePane="bottomRight" state="frozen"/>
      <selection activeCell="H24" sqref="H24"/>
      <selection pane="topRight" activeCell="H24" sqref="H24"/>
      <selection pane="bottomLeft" activeCell="H24" sqref="H24"/>
      <selection pane="bottomRight" activeCell="C257" sqref="C257"/>
    </sheetView>
  </sheetViews>
  <sheetFormatPr defaultRowHeight="16.5"/>
  <cols>
    <col min="1" max="1" width="6.125" style="19" customWidth="1"/>
    <col min="2" max="2" width="13.625" bestFit="1" customWidth="1"/>
    <col min="3" max="3" width="21.25" customWidth="1"/>
    <col min="4" max="4" width="45.5" customWidth="1"/>
    <col min="5" max="5" width="12.625" style="6" bestFit="1" customWidth="1"/>
    <col min="6" max="6" width="13.875" customWidth="1"/>
    <col min="7" max="7" width="14.75" customWidth="1"/>
    <col min="8" max="8" width="64.125" style="13" customWidth="1"/>
    <col min="9" max="9" width="10.25" bestFit="1" customWidth="1"/>
    <col min="10" max="10" width="11.5" bestFit="1" customWidth="1"/>
  </cols>
  <sheetData>
    <row r="3" spans="1:8">
      <c r="B3" s="4" t="s">
        <v>16</v>
      </c>
      <c r="C3" s="4" t="s">
        <v>17</v>
      </c>
      <c r="D3" s="4" t="s">
        <v>15</v>
      </c>
      <c r="E3" s="23" t="s">
        <v>19</v>
      </c>
      <c r="F3" s="4" t="s">
        <v>20</v>
      </c>
      <c r="G3" s="4" t="s">
        <v>18</v>
      </c>
      <c r="H3" s="11" t="s">
        <v>28</v>
      </c>
    </row>
    <row r="4" spans="1:8" ht="17.25">
      <c r="A4" s="19">
        <v>1</v>
      </c>
      <c r="B4" s="7">
        <v>45657</v>
      </c>
      <c r="C4" s="8" t="s">
        <v>22</v>
      </c>
      <c r="D4" t="s">
        <v>93</v>
      </c>
      <c r="E4" s="9">
        <v>603075</v>
      </c>
      <c r="F4" s="5">
        <v>603075</v>
      </c>
      <c r="G4" s="5">
        <v>0</v>
      </c>
      <c r="H4" s="12" t="s">
        <v>265</v>
      </c>
    </row>
    <row r="5" spans="1:8" ht="17.25">
      <c r="A5" s="19">
        <v>2</v>
      </c>
      <c r="B5" s="7">
        <v>45688</v>
      </c>
      <c r="C5" s="8" t="s">
        <v>65</v>
      </c>
      <c r="D5" t="s">
        <v>1</v>
      </c>
      <c r="E5" s="9">
        <v>1150250</v>
      </c>
      <c r="F5" s="5">
        <v>1150250</v>
      </c>
      <c r="G5" s="5">
        <v>0</v>
      </c>
      <c r="H5" s="12" t="s">
        <v>81</v>
      </c>
    </row>
    <row r="6" spans="1:8" ht="33">
      <c r="A6" s="19">
        <v>3</v>
      </c>
      <c r="B6" s="7">
        <v>45716</v>
      </c>
      <c r="C6" s="8" t="s">
        <v>22</v>
      </c>
      <c r="D6" t="s">
        <v>2</v>
      </c>
      <c r="E6" s="9">
        <v>1540475</v>
      </c>
      <c r="F6" s="5">
        <v>2412300</v>
      </c>
      <c r="G6" s="5">
        <v>-871825</v>
      </c>
      <c r="H6" s="12" t="s">
        <v>94</v>
      </c>
    </row>
    <row r="7" spans="1:8" ht="17.25">
      <c r="A7" s="19">
        <v>4</v>
      </c>
      <c r="B7" s="7">
        <v>45657</v>
      </c>
      <c r="C7" s="8" t="s">
        <v>25</v>
      </c>
      <c r="D7" t="s">
        <v>95</v>
      </c>
      <c r="E7" s="9">
        <v>1327625</v>
      </c>
      <c r="F7" s="5">
        <v>1327625</v>
      </c>
      <c r="G7" s="5">
        <v>0</v>
      </c>
      <c r="H7" s="12" t="s">
        <v>80</v>
      </c>
    </row>
    <row r="8" spans="1:8" ht="49.5">
      <c r="A8" s="19">
        <v>5</v>
      </c>
      <c r="B8" s="7">
        <v>45746</v>
      </c>
      <c r="C8" s="8" t="s">
        <v>25</v>
      </c>
      <c r="D8" t="s">
        <v>13</v>
      </c>
      <c r="E8" s="9">
        <v>1075000</v>
      </c>
      <c r="F8" s="5">
        <v>1327625</v>
      </c>
      <c r="G8" s="5">
        <v>-252625</v>
      </c>
      <c r="H8" s="12" t="s">
        <v>269</v>
      </c>
    </row>
    <row r="9" spans="1:8" ht="17.25">
      <c r="A9" s="19">
        <v>6</v>
      </c>
      <c r="B9" s="7">
        <v>45746</v>
      </c>
      <c r="C9" s="8" t="s">
        <v>25</v>
      </c>
      <c r="D9" t="s">
        <v>14</v>
      </c>
      <c r="E9" s="9">
        <v>1075000</v>
      </c>
      <c r="F9" s="5">
        <v>1327625</v>
      </c>
      <c r="G9" s="5">
        <v>-252625</v>
      </c>
      <c r="H9" s="12"/>
    </row>
    <row r="10" spans="1:8" ht="49.5">
      <c r="A10" s="19">
        <v>7</v>
      </c>
      <c r="B10" s="7">
        <v>45777</v>
      </c>
      <c r="C10" s="8" t="s">
        <v>24</v>
      </c>
      <c r="D10" t="s">
        <v>7</v>
      </c>
      <c r="E10" s="9">
        <v>1885550</v>
      </c>
      <c r="F10" s="5">
        <v>2772425</v>
      </c>
      <c r="G10" s="5">
        <v>-886875</v>
      </c>
      <c r="H10" s="12" t="s">
        <v>82</v>
      </c>
    </row>
    <row r="11" spans="1:8" ht="49.5">
      <c r="A11" s="19">
        <v>8</v>
      </c>
      <c r="B11" s="7">
        <v>45777</v>
      </c>
      <c r="C11" s="8" t="s">
        <v>24</v>
      </c>
      <c r="D11" t="s">
        <v>8</v>
      </c>
      <c r="E11" s="9">
        <v>5070775</v>
      </c>
      <c r="F11" s="5">
        <v>7220775</v>
      </c>
      <c r="G11" s="5">
        <v>-2150000</v>
      </c>
      <c r="H11" s="12" t="s">
        <v>83</v>
      </c>
    </row>
    <row r="12" spans="1:8" ht="49.5">
      <c r="A12" s="19">
        <v>9</v>
      </c>
      <c r="B12" s="7">
        <v>45777</v>
      </c>
      <c r="C12" s="8" t="s">
        <v>25</v>
      </c>
      <c r="D12" t="s">
        <v>9</v>
      </c>
      <c r="E12" s="9">
        <v>1075000</v>
      </c>
      <c r="F12" s="5">
        <v>1327625</v>
      </c>
      <c r="G12" s="5">
        <v>-252625</v>
      </c>
      <c r="H12" s="12" t="s">
        <v>269</v>
      </c>
    </row>
    <row r="13" spans="1:8" ht="17.25">
      <c r="A13" s="19">
        <v>10</v>
      </c>
      <c r="B13" s="7">
        <v>45777</v>
      </c>
      <c r="C13" s="8" t="s">
        <v>25</v>
      </c>
      <c r="D13" t="s">
        <v>10</v>
      </c>
      <c r="E13" s="9">
        <v>1075000</v>
      </c>
      <c r="F13" s="5">
        <v>1327625</v>
      </c>
      <c r="G13" s="5">
        <v>-252625</v>
      </c>
      <c r="H13" s="12"/>
    </row>
    <row r="14" spans="1:8" ht="17.25">
      <c r="A14" s="19">
        <v>11</v>
      </c>
      <c r="B14" s="7">
        <v>45777</v>
      </c>
      <c r="C14" s="8" t="s">
        <v>25</v>
      </c>
      <c r="D14" t="s">
        <v>11</v>
      </c>
      <c r="E14" s="9">
        <v>1075000</v>
      </c>
      <c r="F14" s="5">
        <v>1327625</v>
      </c>
      <c r="G14" s="5">
        <v>-252625</v>
      </c>
      <c r="H14" s="12"/>
    </row>
    <row r="15" spans="1:8" ht="17.25">
      <c r="A15" s="19">
        <v>12</v>
      </c>
      <c r="B15" s="7">
        <v>45777</v>
      </c>
      <c r="C15" s="8" t="s">
        <v>25</v>
      </c>
      <c r="D15" t="s">
        <v>12</v>
      </c>
      <c r="E15" s="9">
        <v>1075000</v>
      </c>
      <c r="F15" s="5">
        <v>1327625</v>
      </c>
      <c r="G15" s="5">
        <v>-252625</v>
      </c>
      <c r="H15" s="12"/>
    </row>
    <row r="16" spans="1:8" ht="66">
      <c r="A16" s="19">
        <v>13</v>
      </c>
      <c r="B16" s="7">
        <v>45777</v>
      </c>
      <c r="C16" s="8" t="s">
        <v>21</v>
      </c>
      <c r="D16" t="s">
        <v>96</v>
      </c>
      <c r="E16" s="9">
        <v>46370125</v>
      </c>
      <c r="F16" s="5">
        <v>48468525</v>
      </c>
      <c r="G16" s="5">
        <v>-2098400</v>
      </c>
      <c r="H16" s="12" t="s">
        <v>97</v>
      </c>
    </row>
    <row r="17" spans="1:8" ht="49.5">
      <c r="A17" s="19">
        <v>14</v>
      </c>
      <c r="B17" s="7">
        <v>45808</v>
      </c>
      <c r="C17" s="8" t="s">
        <v>25</v>
      </c>
      <c r="D17" t="s">
        <v>89</v>
      </c>
      <c r="E17" s="9">
        <v>1075000</v>
      </c>
      <c r="F17" s="5">
        <v>1327625</v>
      </c>
      <c r="G17" s="5">
        <v>-252625</v>
      </c>
      <c r="H17" s="12" t="s">
        <v>269</v>
      </c>
    </row>
    <row r="18" spans="1:8" ht="17.25">
      <c r="A18" s="19">
        <v>15</v>
      </c>
      <c r="B18" s="7">
        <v>45808</v>
      </c>
      <c r="C18" s="8" t="s">
        <v>25</v>
      </c>
      <c r="D18" t="s">
        <v>90</v>
      </c>
      <c r="E18" s="9">
        <v>1075000</v>
      </c>
      <c r="F18" s="5">
        <v>1327625</v>
      </c>
      <c r="G18" s="5">
        <v>-252625</v>
      </c>
      <c r="H18" s="12"/>
    </row>
    <row r="19" spans="1:8" ht="17.25">
      <c r="A19" s="19">
        <v>16</v>
      </c>
      <c r="B19" s="7">
        <v>45808</v>
      </c>
      <c r="C19" s="8" t="s">
        <v>25</v>
      </c>
      <c r="D19" t="s">
        <v>91</v>
      </c>
      <c r="E19" s="9">
        <v>1075000</v>
      </c>
      <c r="F19" s="5">
        <v>1327625</v>
      </c>
      <c r="G19" s="5">
        <v>-252625</v>
      </c>
      <c r="H19" s="12"/>
    </row>
    <row r="20" spans="1:8" ht="33">
      <c r="A20" s="19">
        <v>17</v>
      </c>
      <c r="B20" s="7">
        <v>45291</v>
      </c>
      <c r="C20" s="8" t="s">
        <v>98</v>
      </c>
      <c r="D20" t="s">
        <v>99</v>
      </c>
      <c r="E20" s="9">
        <v>4079625</v>
      </c>
      <c r="F20" s="5">
        <v>4079625</v>
      </c>
      <c r="G20" s="5">
        <v>0</v>
      </c>
      <c r="H20" s="12" t="s">
        <v>189</v>
      </c>
    </row>
    <row r="21" spans="1:8" ht="17.25">
      <c r="A21" s="19">
        <v>18</v>
      </c>
      <c r="B21" s="7">
        <v>45322</v>
      </c>
      <c r="C21" s="8" t="s">
        <v>98</v>
      </c>
      <c r="D21" t="s">
        <v>100</v>
      </c>
      <c r="E21" s="9">
        <v>4350525</v>
      </c>
      <c r="F21" s="5">
        <v>4350525</v>
      </c>
      <c r="G21" s="5">
        <v>0</v>
      </c>
      <c r="H21" s="12" t="s">
        <v>114</v>
      </c>
    </row>
    <row r="22" spans="1:8" ht="17.25">
      <c r="A22" s="19">
        <v>19</v>
      </c>
      <c r="B22" s="7">
        <v>45688</v>
      </c>
      <c r="C22" s="8" t="s">
        <v>98</v>
      </c>
      <c r="D22" t="s">
        <v>101</v>
      </c>
      <c r="E22" s="9">
        <v>1018025</v>
      </c>
      <c r="F22" s="5">
        <v>4079625</v>
      </c>
      <c r="G22" s="5">
        <v>-3061600</v>
      </c>
      <c r="H22" s="10" t="s">
        <v>114</v>
      </c>
    </row>
    <row r="23" spans="1:8" ht="17.25">
      <c r="A23" s="19">
        <v>20</v>
      </c>
      <c r="B23" s="7">
        <v>45777</v>
      </c>
      <c r="C23" s="8" t="s">
        <v>98</v>
      </c>
      <c r="D23" t="s">
        <v>3</v>
      </c>
      <c r="E23" s="9">
        <v>1020175</v>
      </c>
      <c r="F23" s="5">
        <v>4079625</v>
      </c>
      <c r="G23" s="5">
        <v>-3059450</v>
      </c>
      <c r="H23" s="10" t="s">
        <v>114</v>
      </c>
    </row>
    <row r="24" spans="1:8" ht="17.25">
      <c r="A24" s="19">
        <v>21</v>
      </c>
      <c r="B24" s="7">
        <v>45777</v>
      </c>
      <c r="C24" s="8" t="s">
        <v>98</v>
      </c>
      <c r="D24" t="s">
        <v>4</v>
      </c>
      <c r="E24" s="9">
        <v>1020175</v>
      </c>
      <c r="F24" s="5">
        <v>4079625</v>
      </c>
      <c r="G24" s="5">
        <v>-3059450</v>
      </c>
      <c r="H24" s="10" t="s">
        <v>114</v>
      </c>
    </row>
    <row r="25" spans="1:8" ht="17.25">
      <c r="A25" s="19">
        <v>22</v>
      </c>
      <c r="B25" s="7">
        <v>45777</v>
      </c>
      <c r="C25" s="8" t="s">
        <v>98</v>
      </c>
      <c r="D25" t="s">
        <v>5</v>
      </c>
      <c r="E25" s="9">
        <v>973950</v>
      </c>
      <c r="F25" s="5">
        <v>4079625</v>
      </c>
      <c r="G25" s="5">
        <v>-3105675</v>
      </c>
      <c r="H25" s="10" t="s">
        <v>114</v>
      </c>
    </row>
    <row r="26" spans="1:8" ht="17.25">
      <c r="A26" s="19">
        <v>23</v>
      </c>
      <c r="B26" s="7">
        <v>45777</v>
      </c>
      <c r="C26" s="8" t="s">
        <v>98</v>
      </c>
      <c r="D26" t="s">
        <v>6</v>
      </c>
      <c r="E26" s="9">
        <v>973950</v>
      </c>
      <c r="F26" s="5">
        <v>4079625</v>
      </c>
      <c r="G26" s="5">
        <v>-3105675</v>
      </c>
      <c r="H26" s="10" t="s">
        <v>114</v>
      </c>
    </row>
    <row r="27" spans="1:8" ht="17.25">
      <c r="A27" s="19">
        <v>24</v>
      </c>
      <c r="B27" s="7">
        <v>45808</v>
      </c>
      <c r="C27" s="8" t="s">
        <v>98</v>
      </c>
      <c r="D27" t="s">
        <v>85</v>
      </c>
      <c r="E27" s="9">
        <v>973950</v>
      </c>
      <c r="F27" s="5">
        <v>4079625</v>
      </c>
      <c r="G27" s="5">
        <v>-3105675</v>
      </c>
      <c r="H27" s="10" t="s">
        <v>114</v>
      </c>
    </row>
    <row r="28" spans="1:8" ht="17.25">
      <c r="A28" s="19">
        <v>25</v>
      </c>
      <c r="B28" s="7">
        <v>45808</v>
      </c>
      <c r="C28" s="8" t="s">
        <v>98</v>
      </c>
      <c r="D28" t="s">
        <v>86</v>
      </c>
      <c r="E28" s="9">
        <v>1018025</v>
      </c>
      <c r="F28" s="5">
        <v>4079625</v>
      </c>
      <c r="G28" s="5">
        <v>-3061600</v>
      </c>
      <c r="H28" s="10" t="s">
        <v>114</v>
      </c>
    </row>
    <row r="29" spans="1:8" ht="17.25">
      <c r="A29" s="19">
        <v>26</v>
      </c>
      <c r="B29" s="7">
        <v>45808</v>
      </c>
      <c r="C29" s="8" t="s">
        <v>98</v>
      </c>
      <c r="D29" t="s">
        <v>88</v>
      </c>
      <c r="E29" s="9">
        <v>1230875</v>
      </c>
      <c r="F29" s="5">
        <v>4079625</v>
      </c>
      <c r="G29" s="5">
        <v>-2848750</v>
      </c>
      <c r="H29" s="10" t="s">
        <v>114</v>
      </c>
    </row>
    <row r="30" spans="1:8" ht="17.25">
      <c r="A30" s="19">
        <v>27</v>
      </c>
      <c r="B30" s="7">
        <v>45838</v>
      </c>
      <c r="C30" s="8" t="s">
        <v>98</v>
      </c>
      <c r="D30" t="s">
        <v>146</v>
      </c>
      <c r="E30" s="9">
        <v>1230875</v>
      </c>
      <c r="F30" s="5">
        <v>4079625</v>
      </c>
      <c r="G30" s="5">
        <v>-2848750</v>
      </c>
      <c r="H30" s="10" t="s">
        <v>114</v>
      </c>
    </row>
    <row r="31" spans="1:8" ht="115.5">
      <c r="A31" s="19">
        <v>28</v>
      </c>
      <c r="B31" s="7">
        <v>45291</v>
      </c>
      <c r="C31" s="8" t="s">
        <v>102</v>
      </c>
      <c r="D31" t="s">
        <v>103</v>
      </c>
      <c r="E31" s="9">
        <v>1408864</v>
      </c>
      <c r="F31" s="5">
        <v>1408864</v>
      </c>
      <c r="G31" s="5">
        <v>0</v>
      </c>
      <c r="H31" s="10" t="s">
        <v>190</v>
      </c>
    </row>
    <row r="32" spans="1:8" ht="17.25">
      <c r="A32" s="19">
        <v>29</v>
      </c>
      <c r="B32" s="7">
        <v>45322</v>
      </c>
      <c r="C32" s="8" t="s">
        <v>102</v>
      </c>
      <c r="D32" t="s">
        <v>180</v>
      </c>
      <c r="E32" s="9">
        <v>1284625</v>
      </c>
      <c r="F32" s="5">
        <v>1284625</v>
      </c>
      <c r="G32" s="5">
        <v>0</v>
      </c>
      <c r="H32" s="10"/>
    </row>
    <row r="33" spans="1:8" ht="115.5">
      <c r="A33" s="19">
        <v>30</v>
      </c>
      <c r="B33" s="7">
        <v>45688</v>
      </c>
      <c r="C33" s="8" t="s">
        <v>102</v>
      </c>
      <c r="D33" t="s">
        <v>147</v>
      </c>
      <c r="E33" s="9">
        <v>0</v>
      </c>
      <c r="F33" s="5">
        <v>1284625</v>
      </c>
      <c r="G33" s="5">
        <f t="shared" ref="G33:G41" si="0">E33-F33</f>
        <v>-1284625</v>
      </c>
      <c r="H33" s="15" t="s">
        <v>190</v>
      </c>
    </row>
    <row r="34" spans="1:8" s="1" customFormat="1" ht="115.5">
      <c r="A34" s="19">
        <v>31</v>
      </c>
      <c r="B34" s="16">
        <v>45777</v>
      </c>
      <c r="C34" s="3" t="s">
        <v>148</v>
      </c>
      <c r="D34" s="1" t="s">
        <v>149</v>
      </c>
      <c r="E34" s="24">
        <v>0</v>
      </c>
      <c r="F34" s="17">
        <v>1284625</v>
      </c>
      <c r="G34" s="17">
        <f t="shared" si="0"/>
        <v>-1284625</v>
      </c>
      <c r="H34" s="18" t="s">
        <v>190</v>
      </c>
    </row>
    <row r="35" spans="1:8" s="1" customFormat="1" ht="17.25">
      <c r="A35" s="19">
        <v>32</v>
      </c>
      <c r="B35" s="16">
        <v>45777</v>
      </c>
      <c r="C35" s="3" t="s">
        <v>102</v>
      </c>
      <c r="D35" s="1" t="s">
        <v>138</v>
      </c>
      <c r="E35" s="24">
        <v>0</v>
      </c>
      <c r="F35" s="17">
        <v>1284625</v>
      </c>
      <c r="G35" s="17">
        <f t="shared" si="0"/>
        <v>-1284625</v>
      </c>
      <c r="H35" s="18"/>
    </row>
    <row r="36" spans="1:8" s="1" customFormat="1" ht="17.25">
      <c r="A36" s="19">
        <v>33</v>
      </c>
      <c r="B36" s="16">
        <v>45777</v>
      </c>
      <c r="C36" s="3" t="s">
        <v>102</v>
      </c>
      <c r="D36" s="1" t="s">
        <v>139</v>
      </c>
      <c r="E36" s="24">
        <v>0</v>
      </c>
      <c r="F36" s="17">
        <v>1284625</v>
      </c>
      <c r="G36" s="17">
        <f t="shared" si="0"/>
        <v>-1284625</v>
      </c>
      <c r="H36" s="18"/>
    </row>
    <row r="37" spans="1:8" s="1" customFormat="1" ht="17.25">
      <c r="A37" s="19">
        <v>34</v>
      </c>
      <c r="B37" s="16">
        <v>45777</v>
      </c>
      <c r="C37" s="3" t="s">
        <v>102</v>
      </c>
      <c r="D37" s="1" t="s">
        <v>140</v>
      </c>
      <c r="E37" s="24">
        <v>0</v>
      </c>
      <c r="F37" s="17">
        <v>1284625</v>
      </c>
      <c r="G37" s="17">
        <f t="shared" si="0"/>
        <v>-1284625</v>
      </c>
      <c r="H37" s="18"/>
    </row>
    <row r="38" spans="1:8" s="1" customFormat="1" ht="115.5">
      <c r="A38" s="19">
        <v>35</v>
      </c>
      <c r="B38" s="16">
        <v>45808</v>
      </c>
      <c r="C38" s="3" t="s">
        <v>102</v>
      </c>
      <c r="D38" s="1" t="s">
        <v>141</v>
      </c>
      <c r="E38" s="24">
        <v>0</v>
      </c>
      <c r="F38" s="17">
        <v>1284625</v>
      </c>
      <c r="G38" s="17">
        <f t="shared" si="0"/>
        <v>-1284625</v>
      </c>
      <c r="H38" s="18" t="s">
        <v>190</v>
      </c>
    </row>
    <row r="39" spans="1:8" s="1" customFormat="1" ht="17.25">
      <c r="A39" s="19">
        <v>36</v>
      </c>
      <c r="B39" s="16">
        <v>45808</v>
      </c>
      <c r="C39" s="3" t="s">
        <v>102</v>
      </c>
      <c r="D39" s="1" t="s">
        <v>150</v>
      </c>
      <c r="E39" s="24">
        <v>0</v>
      </c>
      <c r="F39" s="17">
        <v>1284625</v>
      </c>
      <c r="G39" s="17">
        <f t="shared" si="0"/>
        <v>-1284625</v>
      </c>
      <c r="H39" s="18"/>
    </row>
    <row r="40" spans="1:8" s="1" customFormat="1" ht="17.25">
      <c r="A40" s="19">
        <v>37</v>
      </c>
      <c r="B40" s="16">
        <v>45808</v>
      </c>
      <c r="C40" s="3" t="s">
        <v>102</v>
      </c>
      <c r="D40" s="1" t="s">
        <v>151</v>
      </c>
      <c r="E40" s="24">
        <v>0</v>
      </c>
      <c r="F40" s="17">
        <v>1284625</v>
      </c>
      <c r="G40" s="17">
        <f t="shared" si="0"/>
        <v>-1284625</v>
      </c>
      <c r="H40" s="18"/>
    </row>
    <row r="41" spans="1:8" s="1" customFormat="1" ht="115.5">
      <c r="A41" s="19">
        <v>38</v>
      </c>
      <c r="B41" s="16">
        <v>45838</v>
      </c>
      <c r="C41" s="3" t="s">
        <v>148</v>
      </c>
      <c r="D41" s="1" t="s">
        <v>152</v>
      </c>
      <c r="E41" s="24">
        <v>0</v>
      </c>
      <c r="F41" s="17">
        <v>1284625</v>
      </c>
      <c r="G41" s="17">
        <f t="shared" si="0"/>
        <v>-1284625</v>
      </c>
      <c r="H41" s="18" t="s">
        <v>190</v>
      </c>
    </row>
    <row r="42" spans="1:8" ht="17.25">
      <c r="A42" s="19">
        <v>39</v>
      </c>
      <c r="B42" s="7">
        <v>45808</v>
      </c>
      <c r="C42" s="8" t="s">
        <v>22</v>
      </c>
      <c r="D42" t="s">
        <v>87</v>
      </c>
      <c r="E42" s="9">
        <v>2641275</v>
      </c>
      <c r="F42" s="5">
        <v>3618450</v>
      </c>
      <c r="G42" s="5">
        <v>-977175</v>
      </c>
      <c r="H42" s="12" t="s">
        <v>104</v>
      </c>
    </row>
    <row r="43" spans="1:8" ht="33">
      <c r="A43" s="19">
        <v>40</v>
      </c>
      <c r="B43" s="7">
        <v>45808</v>
      </c>
      <c r="C43" s="8" t="s">
        <v>23</v>
      </c>
      <c r="D43" t="s">
        <v>105</v>
      </c>
      <c r="E43" s="9">
        <v>1154550</v>
      </c>
      <c r="F43" s="5">
        <v>1780200</v>
      </c>
      <c r="G43" s="5">
        <f t="shared" ref="G43:G48" si="1">E43-F43</f>
        <v>-625650</v>
      </c>
      <c r="H43" s="12" t="s">
        <v>181</v>
      </c>
    </row>
    <row r="44" spans="1:8" ht="33">
      <c r="A44" s="19">
        <v>41</v>
      </c>
      <c r="B44" s="7">
        <v>45808</v>
      </c>
      <c r="C44" s="8" t="s">
        <v>26</v>
      </c>
      <c r="D44" t="s">
        <v>106</v>
      </c>
      <c r="E44" s="9">
        <v>5510450</v>
      </c>
      <c r="F44" s="5">
        <v>7985100</v>
      </c>
      <c r="G44" s="5">
        <f t="shared" si="1"/>
        <v>-2474650</v>
      </c>
      <c r="H44" s="12" t="s">
        <v>107</v>
      </c>
    </row>
    <row r="45" spans="1:8" ht="17.25">
      <c r="A45" s="19">
        <v>42</v>
      </c>
      <c r="B45" s="7">
        <v>45808</v>
      </c>
      <c r="C45" s="8" t="s">
        <v>26</v>
      </c>
      <c r="D45" t="s">
        <v>92</v>
      </c>
      <c r="E45" s="9">
        <v>0</v>
      </c>
      <c r="F45" s="5">
        <v>336475</v>
      </c>
      <c r="G45" s="5">
        <f t="shared" si="1"/>
        <v>-336475</v>
      </c>
      <c r="H45" s="12" t="s">
        <v>108</v>
      </c>
    </row>
    <row r="46" spans="1:8" ht="49.5">
      <c r="A46" s="19">
        <v>43</v>
      </c>
      <c r="B46" s="7">
        <v>45808</v>
      </c>
      <c r="C46" s="8" t="s">
        <v>109</v>
      </c>
      <c r="D46" t="s">
        <v>110</v>
      </c>
      <c r="E46" s="9"/>
      <c r="F46" s="5">
        <v>4676250</v>
      </c>
      <c r="G46" s="5">
        <f t="shared" si="1"/>
        <v>-4676250</v>
      </c>
      <c r="H46" s="12" t="s">
        <v>163</v>
      </c>
    </row>
    <row r="47" spans="1:8" ht="17.25">
      <c r="A47" s="19">
        <v>44</v>
      </c>
      <c r="B47" s="7">
        <v>45838</v>
      </c>
      <c r="C47" s="8" t="s">
        <v>160</v>
      </c>
      <c r="D47" t="s">
        <v>144</v>
      </c>
      <c r="E47" s="9">
        <f>1990000*1.075</f>
        <v>2139250</v>
      </c>
      <c r="F47" s="5">
        <f>2585000*1.075</f>
        <v>2778875</v>
      </c>
      <c r="G47" s="5">
        <f t="shared" si="1"/>
        <v>-639625</v>
      </c>
      <c r="H47" s="12" t="s">
        <v>162</v>
      </c>
    </row>
    <row r="48" spans="1:8" ht="17.25">
      <c r="A48" s="19">
        <v>45</v>
      </c>
      <c r="B48" s="7">
        <v>45838</v>
      </c>
      <c r="C48" s="8" t="s">
        <v>160</v>
      </c>
      <c r="D48" t="s">
        <v>145</v>
      </c>
      <c r="E48" s="9">
        <f>2292000*1.075</f>
        <v>2463900</v>
      </c>
      <c r="F48" s="5">
        <f>2790000*1.075</f>
        <v>2999250</v>
      </c>
      <c r="G48" s="5">
        <f t="shared" si="1"/>
        <v>-535350</v>
      </c>
      <c r="H48" s="12" t="s">
        <v>161</v>
      </c>
    </row>
    <row r="49" spans="1:8" ht="33">
      <c r="A49" s="19">
        <v>46</v>
      </c>
      <c r="B49" s="7">
        <v>45869</v>
      </c>
      <c r="C49" s="8" t="s">
        <v>22</v>
      </c>
      <c r="D49" t="s">
        <v>171</v>
      </c>
      <c r="E49" s="9">
        <v>0</v>
      </c>
      <c r="F49" s="5">
        <v>1718925</v>
      </c>
      <c r="G49" s="5">
        <f>E49-F49</f>
        <v>-1718925</v>
      </c>
      <c r="H49" s="12" t="s">
        <v>183</v>
      </c>
    </row>
    <row r="50" spans="1:8" ht="49.5">
      <c r="A50" s="19">
        <v>47</v>
      </c>
      <c r="B50" s="7">
        <v>45869</v>
      </c>
      <c r="C50" s="8" t="s">
        <v>25</v>
      </c>
      <c r="D50" t="s">
        <v>174</v>
      </c>
      <c r="E50" s="9">
        <v>1075000</v>
      </c>
      <c r="F50" s="5">
        <v>1327625</v>
      </c>
      <c r="G50" s="5">
        <f t="shared" ref="G50:G75" si="2">E50-F50</f>
        <v>-252625</v>
      </c>
      <c r="H50" s="12" t="s">
        <v>269</v>
      </c>
    </row>
    <row r="51" spans="1:8" ht="17.25">
      <c r="A51" s="19">
        <v>48</v>
      </c>
      <c r="B51" s="7">
        <v>45869</v>
      </c>
      <c r="C51" s="8" t="s">
        <v>25</v>
      </c>
      <c r="D51" t="s">
        <v>175</v>
      </c>
      <c r="E51" s="9">
        <v>1075000</v>
      </c>
      <c r="F51" s="5">
        <v>1327625</v>
      </c>
      <c r="G51" s="5">
        <f t="shared" si="2"/>
        <v>-252625</v>
      </c>
      <c r="H51" s="12"/>
    </row>
    <row r="52" spans="1:8" ht="17.25">
      <c r="A52" s="19">
        <v>49</v>
      </c>
      <c r="B52" s="7">
        <v>45869</v>
      </c>
      <c r="C52" s="8" t="s">
        <v>25</v>
      </c>
      <c r="D52" t="s">
        <v>176</v>
      </c>
      <c r="E52" s="9">
        <v>1075000</v>
      </c>
      <c r="F52" s="5">
        <v>1327625</v>
      </c>
      <c r="G52" s="5">
        <f t="shared" si="2"/>
        <v>-252625</v>
      </c>
      <c r="H52" s="12"/>
    </row>
    <row r="53" spans="1:8" ht="33">
      <c r="A53" s="19">
        <v>50</v>
      </c>
      <c r="B53" s="7">
        <v>45869</v>
      </c>
      <c r="C53" s="8" t="s">
        <v>23</v>
      </c>
      <c r="D53" t="s">
        <v>177</v>
      </c>
      <c r="E53" s="9">
        <v>1187875</v>
      </c>
      <c r="F53" s="5">
        <v>1780200</v>
      </c>
      <c r="G53" s="5">
        <f t="shared" si="2"/>
        <v>-592325</v>
      </c>
      <c r="H53" s="12" t="s">
        <v>182</v>
      </c>
    </row>
    <row r="54" spans="1:8" ht="49.5">
      <c r="A54" s="19">
        <v>51</v>
      </c>
      <c r="B54" s="7">
        <v>45869</v>
      </c>
      <c r="C54" s="8" t="s">
        <v>98</v>
      </c>
      <c r="D54" t="s">
        <v>172</v>
      </c>
      <c r="E54" s="9">
        <v>1230875</v>
      </c>
      <c r="F54" s="5">
        <v>4079625</v>
      </c>
      <c r="G54" s="5">
        <f t="shared" si="2"/>
        <v>-2848750</v>
      </c>
      <c r="H54" s="12" t="s">
        <v>197</v>
      </c>
    </row>
    <row r="55" spans="1:8" ht="17.25">
      <c r="A55" s="19">
        <v>52</v>
      </c>
      <c r="B55" s="7">
        <v>45869</v>
      </c>
      <c r="C55" s="8" t="s">
        <v>98</v>
      </c>
      <c r="D55" t="s">
        <v>173</v>
      </c>
      <c r="E55" s="9">
        <v>1174975</v>
      </c>
      <c r="F55" s="5">
        <v>4079625</v>
      </c>
      <c r="G55" s="5">
        <f t="shared" si="2"/>
        <v>-2904650</v>
      </c>
      <c r="H55" s="12"/>
    </row>
    <row r="56" spans="1:8" ht="115.5">
      <c r="A56" s="19">
        <v>53</v>
      </c>
      <c r="B56" s="7">
        <v>45869</v>
      </c>
      <c r="C56" s="8" t="s">
        <v>148</v>
      </c>
      <c r="D56" t="s">
        <v>178</v>
      </c>
      <c r="E56" s="9">
        <v>0</v>
      </c>
      <c r="F56" s="5">
        <v>1284625</v>
      </c>
      <c r="G56" s="5">
        <f t="shared" si="2"/>
        <v>-1284625</v>
      </c>
      <c r="H56" s="12" t="s">
        <v>190</v>
      </c>
    </row>
    <row r="57" spans="1:8" ht="17.25">
      <c r="A57" s="19">
        <v>54</v>
      </c>
      <c r="B57" s="7">
        <v>45869</v>
      </c>
      <c r="C57" s="8" t="s">
        <v>148</v>
      </c>
      <c r="D57" t="s">
        <v>179</v>
      </c>
      <c r="E57" s="9">
        <v>0</v>
      </c>
      <c r="F57" s="5">
        <v>1284625</v>
      </c>
      <c r="G57" s="5">
        <f t="shared" si="2"/>
        <v>-1284625</v>
      </c>
      <c r="H57" s="12"/>
    </row>
    <row r="58" spans="1:8" ht="49.5">
      <c r="A58" s="19">
        <v>55</v>
      </c>
      <c r="B58" s="7">
        <v>45900</v>
      </c>
      <c r="C58" s="8" t="s">
        <v>98</v>
      </c>
      <c r="D58" t="s">
        <v>184</v>
      </c>
      <c r="E58" s="9">
        <v>1174975</v>
      </c>
      <c r="F58" s="5">
        <v>4079625</v>
      </c>
      <c r="G58" s="5">
        <f t="shared" si="2"/>
        <v>-2904650</v>
      </c>
      <c r="H58" s="12" t="s">
        <v>197</v>
      </c>
    </row>
    <row r="59" spans="1:8" ht="17.25">
      <c r="A59" s="19">
        <v>56</v>
      </c>
      <c r="B59" s="7">
        <v>45900</v>
      </c>
      <c r="C59" s="8" t="s">
        <v>98</v>
      </c>
      <c r="D59" t="s">
        <v>185</v>
      </c>
      <c r="E59" s="9">
        <v>1018025</v>
      </c>
      <c r="F59" s="5">
        <v>4079625</v>
      </c>
      <c r="G59" s="5">
        <f t="shared" si="2"/>
        <v>-3061600</v>
      </c>
      <c r="H59" s="12"/>
    </row>
    <row r="60" spans="1:8" ht="115.5">
      <c r="A60" s="19">
        <v>57</v>
      </c>
      <c r="B60" s="7">
        <v>45900</v>
      </c>
      <c r="C60" s="8" t="s">
        <v>148</v>
      </c>
      <c r="D60" t="s">
        <v>191</v>
      </c>
      <c r="E60" s="9">
        <v>0</v>
      </c>
      <c r="F60" s="5">
        <v>1284625</v>
      </c>
      <c r="G60" s="5">
        <f t="shared" si="2"/>
        <v>-1284625</v>
      </c>
      <c r="H60" s="12" t="s">
        <v>190</v>
      </c>
    </row>
    <row r="61" spans="1:8" ht="17.25">
      <c r="A61" s="19">
        <v>58</v>
      </c>
      <c r="B61" s="7">
        <v>45900</v>
      </c>
      <c r="C61" s="8" t="s">
        <v>148</v>
      </c>
      <c r="D61" t="s">
        <v>192</v>
      </c>
      <c r="E61" s="9">
        <v>0</v>
      </c>
      <c r="F61" s="5">
        <v>1284625</v>
      </c>
      <c r="G61" s="5">
        <f t="shared" si="2"/>
        <v>-1284625</v>
      </c>
      <c r="H61" s="12"/>
    </row>
    <row r="62" spans="1:8" ht="17.25">
      <c r="A62" s="19">
        <v>59</v>
      </c>
      <c r="B62" s="7"/>
      <c r="C62" s="8"/>
      <c r="E62" s="9"/>
      <c r="F62" s="5"/>
      <c r="G62" s="5"/>
      <c r="H62" s="12"/>
    </row>
    <row r="63" spans="1:8" ht="33">
      <c r="A63" s="19">
        <v>60</v>
      </c>
      <c r="B63" s="7">
        <v>45900</v>
      </c>
      <c r="C63" s="8" t="s">
        <v>23</v>
      </c>
      <c r="D63" t="s">
        <v>186</v>
      </c>
      <c r="E63" s="9">
        <v>1187875</v>
      </c>
      <c r="F63" s="5">
        <v>1780200</v>
      </c>
      <c r="G63" s="5">
        <f t="shared" si="2"/>
        <v>-592325</v>
      </c>
      <c r="H63" s="12" t="s">
        <v>182</v>
      </c>
    </row>
    <row r="64" spans="1:8" ht="17.25">
      <c r="A64" s="19">
        <v>61</v>
      </c>
      <c r="B64" s="7">
        <v>45930</v>
      </c>
      <c r="C64" s="8" t="s">
        <v>24</v>
      </c>
      <c r="D64" t="s">
        <v>187</v>
      </c>
      <c r="E64" s="9">
        <v>1629700</v>
      </c>
      <c r="F64" s="5">
        <f>E64+1000000</f>
        <v>2629700</v>
      </c>
      <c r="G64" s="5">
        <f t="shared" si="2"/>
        <v>-1000000</v>
      </c>
      <c r="H64" s="12" t="s">
        <v>188</v>
      </c>
    </row>
    <row r="65" spans="1:8" ht="33">
      <c r="A65" s="19">
        <v>62</v>
      </c>
      <c r="B65" s="7">
        <v>45930</v>
      </c>
      <c r="C65" s="8" t="s">
        <v>98</v>
      </c>
      <c r="D65" t="s">
        <v>215</v>
      </c>
      <c r="E65" s="9">
        <v>1230875</v>
      </c>
      <c r="F65" s="5">
        <v>4079625</v>
      </c>
      <c r="G65" s="5">
        <f t="shared" si="2"/>
        <v>-2848750</v>
      </c>
      <c r="H65" s="12" t="s">
        <v>196</v>
      </c>
    </row>
    <row r="66" spans="1:8" ht="17.25">
      <c r="A66" s="19">
        <v>63</v>
      </c>
      <c r="B66" s="7">
        <v>45930</v>
      </c>
      <c r="C66" s="8" t="s">
        <v>98</v>
      </c>
      <c r="D66" t="s">
        <v>216</v>
      </c>
      <c r="E66" s="9">
        <v>1230875</v>
      </c>
      <c r="F66" s="5">
        <v>4079625</v>
      </c>
      <c r="G66" s="5">
        <f t="shared" si="2"/>
        <v>-2848750</v>
      </c>
      <c r="H66" s="12"/>
    </row>
    <row r="67" spans="1:8" ht="17.25">
      <c r="A67" s="19">
        <v>64</v>
      </c>
      <c r="B67" s="7">
        <v>45930</v>
      </c>
      <c r="C67" s="8" t="s">
        <v>98</v>
      </c>
      <c r="D67" t="s">
        <v>217</v>
      </c>
      <c r="E67" s="9">
        <v>1174975</v>
      </c>
      <c r="F67" s="5">
        <v>4079625</v>
      </c>
      <c r="G67" s="5">
        <f t="shared" si="2"/>
        <v>-2904650</v>
      </c>
      <c r="H67" s="12"/>
    </row>
    <row r="68" spans="1:8" ht="115.5">
      <c r="A68" s="19">
        <v>65</v>
      </c>
      <c r="B68" s="7">
        <v>45930</v>
      </c>
      <c r="C68" s="8" t="s">
        <v>148</v>
      </c>
      <c r="D68" t="s">
        <v>193</v>
      </c>
      <c r="E68" s="9">
        <v>0</v>
      </c>
      <c r="F68" s="5">
        <v>1284625</v>
      </c>
      <c r="G68" s="5">
        <f t="shared" si="2"/>
        <v>-1284625</v>
      </c>
      <c r="H68" s="12" t="s">
        <v>190</v>
      </c>
    </row>
    <row r="69" spans="1:8" ht="17.25">
      <c r="A69" s="19">
        <v>66</v>
      </c>
      <c r="B69" s="7">
        <v>45930</v>
      </c>
      <c r="C69" s="8" t="s">
        <v>148</v>
      </c>
      <c r="D69" t="s">
        <v>194</v>
      </c>
      <c r="E69" s="9">
        <v>0</v>
      </c>
      <c r="F69" s="5">
        <v>1284625</v>
      </c>
      <c r="G69" s="5">
        <f t="shared" si="2"/>
        <v>-1284625</v>
      </c>
      <c r="H69" s="12"/>
    </row>
    <row r="70" spans="1:8" ht="17.25">
      <c r="A70" s="19">
        <v>67</v>
      </c>
      <c r="B70" s="7">
        <v>45930</v>
      </c>
      <c r="C70" s="8" t="s">
        <v>148</v>
      </c>
      <c r="D70" t="s">
        <v>195</v>
      </c>
      <c r="E70" s="9">
        <v>0</v>
      </c>
      <c r="F70" s="5">
        <v>1284625</v>
      </c>
      <c r="G70" s="5">
        <f t="shared" si="2"/>
        <v>-1284625</v>
      </c>
      <c r="H70" s="12"/>
    </row>
    <row r="71" spans="1:8" ht="33">
      <c r="A71" s="19">
        <v>68</v>
      </c>
      <c r="B71" s="7">
        <v>45961</v>
      </c>
      <c r="C71" s="8" t="s">
        <v>214</v>
      </c>
      <c r="D71" t="s">
        <v>209</v>
      </c>
      <c r="E71" s="9">
        <v>1230875</v>
      </c>
      <c r="F71" s="5">
        <v>4079625</v>
      </c>
      <c r="G71" s="5">
        <f t="shared" si="2"/>
        <v>-2848750</v>
      </c>
      <c r="H71" s="12" t="s">
        <v>196</v>
      </c>
    </row>
    <row r="72" spans="1:8" ht="17.25">
      <c r="A72" s="19">
        <v>69</v>
      </c>
      <c r="B72" s="7">
        <v>45961</v>
      </c>
      <c r="C72" s="8" t="s">
        <v>214</v>
      </c>
      <c r="D72" t="s">
        <v>210</v>
      </c>
      <c r="E72" s="9">
        <v>1230875</v>
      </c>
      <c r="F72" s="5">
        <v>4079625</v>
      </c>
      <c r="G72" s="5">
        <f t="shared" si="2"/>
        <v>-2848750</v>
      </c>
      <c r="H72" s="12"/>
    </row>
    <row r="73" spans="1:8" ht="115.5">
      <c r="A73" s="19">
        <v>70</v>
      </c>
      <c r="B73" s="7">
        <v>45961</v>
      </c>
      <c r="C73" s="8" t="s">
        <v>148</v>
      </c>
      <c r="D73" t="s">
        <v>212</v>
      </c>
      <c r="E73" s="9">
        <v>0</v>
      </c>
      <c r="F73" s="5">
        <v>1284625</v>
      </c>
      <c r="G73" s="5">
        <f t="shared" si="2"/>
        <v>-1284625</v>
      </c>
      <c r="H73" s="12" t="s">
        <v>190</v>
      </c>
    </row>
    <row r="74" spans="1:8" ht="17.25">
      <c r="A74" s="19">
        <v>71</v>
      </c>
      <c r="B74" s="7">
        <v>45961</v>
      </c>
      <c r="C74" s="8" t="s">
        <v>148</v>
      </c>
      <c r="D74" t="s">
        <v>213</v>
      </c>
      <c r="E74" s="9">
        <v>0</v>
      </c>
      <c r="F74" s="5">
        <v>1284625</v>
      </c>
      <c r="G74" s="5">
        <f t="shared" si="2"/>
        <v>-1284625</v>
      </c>
      <c r="H74" s="12"/>
    </row>
    <row r="75" spans="1:8" ht="49.5">
      <c r="A75" s="19">
        <v>72</v>
      </c>
      <c r="B75" s="7">
        <v>45961</v>
      </c>
      <c r="C75" s="8" t="s">
        <v>25</v>
      </c>
      <c r="D75" t="s">
        <v>211</v>
      </c>
      <c r="E75" s="9">
        <v>1075000</v>
      </c>
      <c r="F75" s="5">
        <v>1327625</v>
      </c>
      <c r="G75" s="5">
        <f t="shared" si="2"/>
        <v>-252625</v>
      </c>
      <c r="H75" s="12" t="s">
        <v>269</v>
      </c>
    </row>
    <row r="76" spans="1:8" ht="33">
      <c r="A76" s="19">
        <v>73</v>
      </c>
      <c r="B76" s="7">
        <v>45716</v>
      </c>
      <c r="C76" s="8" t="s">
        <v>0</v>
      </c>
      <c r="D76" t="s">
        <v>208</v>
      </c>
      <c r="E76" s="9">
        <v>2479702.5</v>
      </c>
      <c r="F76" s="5">
        <v>2755225</v>
      </c>
      <c r="G76" s="5">
        <f>E76-F76</f>
        <v>-275522.5</v>
      </c>
      <c r="H76" s="12" t="s">
        <v>207</v>
      </c>
    </row>
    <row r="77" spans="1:8" ht="33">
      <c r="A77" s="19">
        <v>74</v>
      </c>
      <c r="B77" s="7">
        <v>45747</v>
      </c>
      <c r="C77" s="8" t="s">
        <v>0</v>
      </c>
      <c r="D77" t="s">
        <v>208</v>
      </c>
      <c r="E77" s="9">
        <v>783675</v>
      </c>
      <c r="F77" s="5">
        <v>870750</v>
      </c>
      <c r="G77" s="5">
        <f t="shared" ref="G77:G97" si="3">E77-F77</f>
        <v>-87075</v>
      </c>
      <c r="H77" s="12" t="s">
        <v>207</v>
      </c>
    </row>
    <row r="78" spans="1:8" ht="33">
      <c r="A78" s="19">
        <v>75</v>
      </c>
      <c r="B78" s="7">
        <v>45777</v>
      </c>
      <c r="C78" s="8" t="s">
        <v>0</v>
      </c>
      <c r="D78" t="s">
        <v>208</v>
      </c>
      <c r="E78" s="9">
        <v>14747602.5</v>
      </c>
      <c r="F78" s="5">
        <v>16386225</v>
      </c>
      <c r="G78" s="5">
        <f t="shared" si="3"/>
        <v>-1638622.5</v>
      </c>
      <c r="H78" s="12" t="s">
        <v>207</v>
      </c>
    </row>
    <row r="79" spans="1:8" ht="33">
      <c r="A79" s="19">
        <v>76</v>
      </c>
      <c r="B79" s="7">
        <v>45838</v>
      </c>
      <c r="C79" s="8" t="s">
        <v>0</v>
      </c>
      <c r="D79" t="s">
        <v>208</v>
      </c>
      <c r="E79" s="9">
        <v>4140900</v>
      </c>
      <c r="F79" s="5">
        <v>4601000</v>
      </c>
      <c r="G79" s="5">
        <f t="shared" si="3"/>
        <v>-460100</v>
      </c>
      <c r="H79" s="12" t="s">
        <v>207</v>
      </c>
    </row>
    <row r="80" spans="1:8" ht="33">
      <c r="A80" s="19">
        <v>77</v>
      </c>
      <c r="B80" s="7">
        <v>45869</v>
      </c>
      <c r="C80" s="8" t="s">
        <v>0</v>
      </c>
      <c r="D80" t="s">
        <v>208</v>
      </c>
      <c r="E80" s="9">
        <v>5641492.5</v>
      </c>
      <c r="F80" s="5">
        <v>6268325</v>
      </c>
      <c r="G80" s="5">
        <f t="shared" si="3"/>
        <v>-626832.5</v>
      </c>
      <c r="H80" s="12" t="s">
        <v>207</v>
      </c>
    </row>
    <row r="81" spans="1:10" ht="33">
      <c r="A81" s="19">
        <v>78</v>
      </c>
      <c r="B81" s="7">
        <v>45900</v>
      </c>
      <c r="C81" s="8" t="s">
        <v>0</v>
      </c>
      <c r="D81" t="s">
        <v>208</v>
      </c>
      <c r="E81" s="9">
        <v>9642105</v>
      </c>
      <c r="F81" s="5">
        <v>10713450</v>
      </c>
      <c r="G81" s="5">
        <f t="shared" si="3"/>
        <v>-1071345</v>
      </c>
      <c r="H81" s="12" t="s">
        <v>207</v>
      </c>
    </row>
    <row r="82" spans="1:10" ht="33">
      <c r="A82" s="19">
        <v>79</v>
      </c>
      <c r="B82" s="7">
        <v>45930</v>
      </c>
      <c r="C82" s="8" t="s">
        <v>0</v>
      </c>
      <c r="D82" t="s">
        <v>208</v>
      </c>
      <c r="E82" s="9">
        <v>4140900</v>
      </c>
      <c r="F82" s="5">
        <v>4601000</v>
      </c>
      <c r="G82" s="5">
        <f t="shared" si="3"/>
        <v>-460100</v>
      </c>
      <c r="H82" s="12" t="s">
        <v>207</v>
      </c>
    </row>
    <row r="83" spans="1:10" ht="33">
      <c r="A83" s="19">
        <v>80</v>
      </c>
      <c r="B83" s="7">
        <v>45961</v>
      </c>
      <c r="C83" s="8" t="s">
        <v>0</v>
      </c>
      <c r="D83" t="s">
        <v>208</v>
      </c>
      <c r="E83" s="9">
        <v>7418790</v>
      </c>
      <c r="F83" s="5">
        <v>8243100</v>
      </c>
      <c r="G83" s="5">
        <f t="shared" si="3"/>
        <v>-824310</v>
      </c>
      <c r="H83" s="12" t="s">
        <v>207</v>
      </c>
    </row>
    <row r="84" spans="1:10" ht="33">
      <c r="A84" s="19">
        <v>81</v>
      </c>
      <c r="B84" s="7">
        <v>45991</v>
      </c>
      <c r="C84" s="8" t="s">
        <v>0</v>
      </c>
      <c r="D84" t="s">
        <v>208</v>
      </c>
      <c r="E84" s="9">
        <v>34291893.600000001</v>
      </c>
      <c r="F84" s="5">
        <v>38102104</v>
      </c>
      <c r="G84" s="5">
        <f t="shared" si="3"/>
        <v>-3810210.3999999985</v>
      </c>
      <c r="H84" s="12" t="s">
        <v>207</v>
      </c>
    </row>
    <row r="85" spans="1:10" ht="33">
      <c r="A85" s="19">
        <v>82</v>
      </c>
      <c r="B85" s="7">
        <v>46022</v>
      </c>
      <c r="C85" s="8" t="s">
        <v>0</v>
      </c>
      <c r="D85" t="s">
        <v>208</v>
      </c>
      <c r="E85" s="9">
        <v>36020025</v>
      </c>
      <c r="F85" s="5">
        <v>40022250</v>
      </c>
      <c r="G85" s="5">
        <f t="shared" si="3"/>
        <v>-4002225</v>
      </c>
      <c r="H85" s="12" t="s">
        <v>207</v>
      </c>
    </row>
    <row r="86" spans="1:10" ht="66">
      <c r="A86" s="19">
        <v>83</v>
      </c>
      <c r="B86" s="7">
        <v>45991</v>
      </c>
      <c r="C86" s="8" t="s">
        <v>160</v>
      </c>
      <c r="D86" t="s">
        <v>218</v>
      </c>
      <c r="E86" s="9">
        <f>3779000*1.075</f>
        <v>4062425</v>
      </c>
      <c r="F86" s="5">
        <f>4895000*1.075</f>
        <v>5262125</v>
      </c>
      <c r="G86" s="5">
        <f t="shared" si="3"/>
        <v>-1199700</v>
      </c>
      <c r="H86" s="12" t="s">
        <v>221</v>
      </c>
    </row>
    <row r="87" spans="1:10" ht="66">
      <c r="A87" s="19">
        <v>84</v>
      </c>
      <c r="B87" s="7">
        <v>45991</v>
      </c>
      <c r="C87" s="8" t="s">
        <v>160</v>
      </c>
      <c r="D87" t="s">
        <v>219</v>
      </c>
      <c r="E87" s="9">
        <f>4434000*1.075</f>
        <v>4766550</v>
      </c>
      <c r="F87" s="5">
        <f>7126000*1.075</f>
        <v>7660450</v>
      </c>
      <c r="G87" s="5">
        <f t="shared" si="3"/>
        <v>-2893900</v>
      </c>
      <c r="H87" s="12" t="s">
        <v>222</v>
      </c>
    </row>
    <row r="88" spans="1:10" ht="49.5">
      <c r="A88" s="19">
        <v>85</v>
      </c>
      <c r="B88" s="7">
        <v>45991</v>
      </c>
      <c r="C88" s="8" t="s">
        <v>160</v>
      </c>
      <c r="D88" t="s">
        <v>220</v>
      </c>
      <c r="E88" s="9">
        <v>0</v>
      </c>
      <c r="F88" s="5">
        <f>814000*1.075</f>
        <v>875050</v>
      </c>
      <c r="G88" s="5">
        <f t="shared" si="3"/>
        <v>-875050</v>
      </c>
      <c r="H88" s="12" t="s">
        <v>223</v>
      </c>
    </row>
    <row r="89" spans="1:10" ht="49.5">
      <c r="A89" s="19">
        <v>86</v>
      </c>
      <c r="B89" s="7">
        <v>46022</v>
      </c>
      <c r="C89" s="8" t="s">
        <v>25</v>
      </c>
      <c r="D89" t="s">
        <v>224</v>
      </c>
      <c r="E89" s="9">
        <v>40850000</v>
      </c>
      <c r="F89" s="5">
        <f>1327625*38</f>
        <v>50449750</v>
      </c>
      <c r="G89" s="5">
        <f t="shared" si="3"/>
        <v>-9599750</v>
      </c>
      <c r="H89" s="12" t="s">
        <v>269</v>
      </c>
    </row>
    <row r="90" spans="1:10" ht="49.5">
      <c r="A90" s="19">
        <v>87</v>
      </c>
      <c r="B90" s="7">
        <v>46022</v>
      </c>
      <c r="C90" s="8" t="s">
        <v>25</v>
      </c>
      <c r="D90" t="s">
        <v>225</v>
      </c>
      <c r="E90" s="9">
        <v>967500</v>
      </c>
      <c r="F90" s="5">
        <f>E90+252625</f>
        <v>1220125</v>
      </c>
      <c r="G90" s="5">
        <f t="shared" si="3"/>
        <v>-252625</v>
      </c>
      <c r="H90" s="12" t="s">
        <v>269</v>
      </c>
    </row>
    <row r="91" spans="1:10" ht="33">
      <c r="A91" s="19">
        <v>88</v>
      </c>
      <c r="B91" s="7">
        <v>46022</v>
      </c>
      <c r="C91" s="8" t="s">
        <v>23</v>
      </c>
      <c r="D91" t="s">
        <v>226</v>
      </c>
      <c r="E91" s="9">
        <v>1510374.9999999991</v>
      </c>
      <c r="F91" s="5">
        <v>2673300</v>
      </c>
      <c r="G91" s="5">
        <f t="shared" si="3"/>
        <v>-1162925.0000000009</v>
      </c>
      <c r="H91" s="12" t="s">
        <v>227</v>
      </c>
    </row>
    <row r="92" spans="1:10" ht="49.5">
      <c r="A92" s="19">
        <v>89</v>
      </c>
      <c r="B92" s="7">
        <v>46022</v>
      </c>
      <c r="C92" s="8" t="s">
        <v>98</v>
      </c>
      <c r="D92" t="s">
        <v>228</v>
      </c>
      <c r="E92" s="9">
        <v>1174975</v>
      </c>
      <c r="F92" s="5">
        <v>4079625</v>
      </c>
      <c r="G92" s="5">
        <f t="shared" si="3"/>
        <v>-2904650</v>
      </c>
      <c r="H92" s="12" t="s">
        <v>197</v>
      </c>
    </row>
    <row r="93" spans="1:10" ht="49.5">
      <c r="A93" s="19">
        <v>90</v>
      </c>
      <c r="B93" s="7">
        <v>46022</v>
      </c>
      <c r="C93" s="8" t="s">
        <v>98</v>
      </c>
      <c r="D93" t="s">
        <v>229</v>
      </c>
      <c r="E93" s="9">
        <v>1174975</v>
      </c>
      <c r="F93" s="5">
        <v>4079625</v>
      </c>
      <c r="G93" s="5">
        <f t="shared" si="3"/>
        <v>-2904650</v>
      </c>
      <c r="H93" s="12" t="s">
        <v>197</v>
      </c>
    </row>
    <row r="94" spans="1:10" ht="49.5">
      <c r="A94" s="19">
        <v>91</v>
      </c>
      <c r="B94" s="7">
        <v>46022</v>
      </c>
      <c r="C94" s="8" t="s">
        <v>98</v>
      </c>
      <c r="D94" t="s">
        <v>230</v>
      </c>
      <c r="E94" s="9">
        <v>1174975</v>
      </c>
      <c r="F94" s="5">
        <v>4079625</v>
      </c>
      <c r="G94" s="5">
        <f t="shared" si="3"/>
        <v>-2904650</v>
      </c>
      <c r="H94" s="12" t="s">
        <v>197</v>
      </c>
    </row>
    <row r="95" spans="1:10" ht="66">
      <c r="A95" s="19">
        <v>92</v>
      </c>
      <c r="B95" s="7">
        <v>46022</v>
      </c>
      <c r="C95" s="8" t="s">
        <v>27</v>
      </c>
      <c r="D95" t="s">
        <v>231</v>
      </c>
      <c r="E95" s="9">
        <f>(219321*124.5)*1.075</f>
        <v>29353374.337499999</v>
      </c>
      <c r="F95" s="5">
        <f>(219321*147)*1.075</f>
        <v>34658201.024999999</v>
      </c>
      <c r="G95" s="5">
        <f t="shared" si="3"/>
        <v>-5304826.6875</v>
      </c>
      <c r="H95" s="12" t="s">
        <v>232</v>
      </c>
    </row>
    <row r="96" spans="1:10" ht="49.5">
      <c r="A96" s="19">
        <v>93</v>
      </c>
      <c r="B96" s="7">
        <v>46022</v>
      </c>
      <c r="C96" s="8" t="s">
        <v>266</v>
      </c>
      <c r="D96" t="s">
        <v>267</v>
      </c>
      <c r="E96" s="9">
        <f>5308000*1.075</f>
        <v>5706100</v>
      </c>
      <c r="F96" s="5">
        <v>9649200</v>
      </c>
      <c r="G96" s="5">
        <f t="shared" si="3"/>
        <v>-3943100</v>
      </c>
      <c r="H96" s="12" t="s">
        <v>268</v>
      </c>
      <c r="I96" s="21"/>
      <c r="J96" s="22"/>
    </row>
    <row r="97" spans="1:10" ht="33">
      <c r="A97" s="19">
        <v>94</v>
      </c>
      <c r="B97" s="7">
        <v>45663</v>
      </c>
      <c r="C97" s="8" t="s">
        <v>62</v>
      </c>
      <c r="D97" t="s">
        <v>29</v>
      </c>
      <c r="E97" s="9"/>
      <c r="F97" s="5">
        <f>1040600/5</f>
        <v>208120</v>
      </c>
      <c r="G97" s="5">
        <f t="shared" si="3"/>
        <v>-208120</v>
      </c>
      <c r="H97" s="12" t="s">
        <v>133</v>
      </c>
      <c r="I97" s="6"/>
      <c r="J97" s="6"/>
    </row>
    <row r="98" spans="1:10" ht="33">
      <c r="A98" s="19">
        <v>95</v>
      </c>
      <c r="B98" s="7">
        <v>45665</v>
      </c>
      <c r="C98" s="8" t="s">
        <v>63</v>
      </c>
      <c r="D98" t="s">
        <v>30</v>
      </c>
      <c r="E98" s="9"/>
      <c r="F98" s="5">
        <f>1012650/7</f>
        <v>144664.28571428571</v>
      </c>
      <c r="G98" s="5">
        <v>-144664.28571428571</v>
      </c>
      <c r="H98" s="12" t="s">
        <v>134</v>
      </c>
      <c r="J98" s="2"/>
    </row>
    <row r="99" spans="1:10" ht="17.25">
      <c r="A99" s="19">
        <v>96</v>
      </c>
      <c r="B99" s="7">
        <v>45667</v>
      </c>
      <c r="C99" s="8" t="s">
        <v>63</v>
      </c>
      <c r="D99" t="s">
        <v>31</v>
      </c>
      <c r="E99" s="9"/>
      <c r="F99" s="5">
        <f>1012650/7</f>
        <v>144664.28571428571</v>
      </c>
      <c r="G99" s="5">
        <v>-144664.28571428571</v>
      </c>
      <c r="H99" s="12"/>
    </row>
    <row r="100" spans="1:10" ht="17.25">
      <c r="A100" s="19">
        <v>97</v>
      </c>
      <c r="B100" s="7">
        <v>45667</v>
      </c>
      <c r="C100" s="8" t="s">
        <v>62</v>
      </c>
      <c r="D100" t="s">
        <v>32</v>
      </c>
      <c r="E100" s="9"/>
      <c r="F100" s="5">
        <f>1040600/5</f>
        <v>208120</v>
      </c>
      <c r="G100" s="5">
        <f>E100-F100</f>
        <v>-208120</v>
      </c>
      <c r="H100" s="12"/>
    </row>
    <row r="101" spans="1:10" ht="33">
      <c r="A101" s="19">
        <v>98</v>
      </c>
      <c r="B101" s="7">
        <v>45667</v>
      </c>
      <c r="C101" s="8" t="s">
        <v>64</v>
      </c>
      <c r="D101" t="s">
        <v>111</v>
      </c>
      <c r="E101" s="9"/>
      <c r="F101" s="5">
        <v>576200</v>
      </c>
      <c r="G101" s="5">
        <v>-576200</v>
      </c>
      <c r="H101" s="12" t="s">
        <v>206</v>
      </c>
    </row>
    <row r="102" spans="1:10" ht="17.25">
      <c r="A102" s="19">
        <v>99</v>
      </c>
      <c r="B102" s="7">
        <v>45669</v>
      </c>
      <c r="C102" s="8" t="s">
        <v>62</v>
      </c>
      <c r="D102" t="s">
        <v>33</v>
      </c>
      <c r="E102" s="9"/>
      <c r="F102" s="5">
        <f>1040600/5</f>
        <v>208120</v>
      </c>
      <c r="G102" s="5">
        <f>E102-F102</f>
        <v>-208120</v>
      </c>
      <c r="H102" s="12"/>
    </row>
    <row r="103" spans="1:10" ht="17.25">
      <c r="A103" s="19">
        <v>100</v>
      </c>
      <c r="B103" s="7">
        <v>45670</v>
      </c>
      <c r="C103" s="8" t="s">
        <v>63</v>
      </c>
      <c r="D103" t="s">
        <v>34</v>
      </c>
      <c r="E103" s="9"/>
      <c r="F103" s="5">
        <f>1012650/7</f>
        <v>144664.28571428571</v>
      </c>
      <c r="G103" s="5">
        <v>-144664.28571428571</v>
      </c>
      <c r="H103" s="12"/>
    </row>
    <row r="104" spans="1:10" ht="17.25">
      <c r="A104" s="19">
        <v>101</v>
      </c>
      <c r="B104" s="7">
        <v>45671</v>
      </c>
      <c r="C104" s="8" t="s">
        <v>62</v>
      </c>
      <c r="D104" t="s">
        <v>66</v>
      </c>
      <c r="E104" s="9"/>
      <c r="F104" s="5">
        <f>1040600/5</f>
        <v>208120</v>
      </c>
      <c r="G104" s="5">
        <f>E104-F104</f>
        <v>-208120</v>
      </c>
      <c r="H104" s="14"/>
    </row>
    <row r="105" spans="1:10" ht="17.25">
      <c r="A105" s="19">
        <v>102</v>
      </c>
      <c r="B105" s="7">
        <v>45671</v>
      </c>
      <c r="C105" s="8" t="s">
        <v>63</v>
      </c>
      <c r="D105" t="s">
        <v>67</v>
      </c>
      <c r="E105" s="9"/>
      <c r="F105" s="5">
        <f>1012650/7</f>
        <v>144664.28571428571</v>
      </c>
      <c r="G105" s="5">
        <v>-144664.28571428571</v>
      </c>
      <c r="H105" s="12"/>
    </row>
    <row r="106" spans="1:10" ht="17.25">
      <c r="A106" s="19">
        <v>103</v>
      </c>
      <c r="B106" s="7">
        <v>45671</v>
      </c>
      <c r="C106" s="8" t="s">
        <v>63</v>
      </c>
      <c r="D106" t="s">
        <v>35</v>
      </c>
      <c r="E106" s="9"/>
      <c r="F106" s="5">
        <f>1012650/7</f>
        <v>144664.28571428571</v>
      </c>
      <c r="G106" s="5">
        <v>-144664.28571428571</v>
      </c>
      <c r="H106" s="12"/>
    </row>
    <row r="107" spans="1:10" ht="17.25">
      <c r="A107" s="19">
        <v>104</v>
      </c>
      <c r="B107" s="7">
        <v>45673</v>
      </c>
      <c r="C107" s="8" t="s">
        <v>62</v>
      </c>
      <c r="D107" t="s">
        <v>36</v>
      </c>
      <c r="E107" s="9"/>
      <c r="F107" s="5">
        <f>1040600/5</f>
        <v>208120</v>
      </c>
      <c r="G107" s="5">
        <f>E107-F107</f>
        <v>-208120</v>
      </c>
      <c r="H107" s="12"/>
    </row>
    <row r="108" spans="1:10" ht="17.25">
      <c r="A108" s="19">
        <v>105</v>
      </c>
      <c r="B108" s="7">
        <v>45674</v>
      </c>
      <c r="C108" s="8" t="s">
        <v>63</v>
      </c>
      <c r="D108" t="s">
        <v>37</v>
      </c>
      <c r="E108" s="9"/>
      <c r="F108" s="5">
        <f>1012650/7</f>
        <v>144664.28571428571</v>
      </c>
      <c r="G108" s="5">
        <v>-144664.28571428571</v>
      </c>
      <c r="H108" s="12"/>
    </row>
    <row r="109" spans="1:10" ht="17.25">
      <c r="A109" s="19">
        <v>106</v>
      </c>
      <c r="B109" s="7">
        <v>45680</v>
      </c>
      <c r="C109" s="8" t="s">
        <v>63</v>
      </c>
      <c r="D109" t="s">
        <v>68</v>
      </c>
      <c r="E109" s="9"/>
      <c r="F109" s="5">
        <f>1012650/7</f>
        <v>144664.28571428571</v>
      </c>
      <c r="G109" s="5">
        <v>-144664.28571428571</v>
      </c>
      <c r="H109" s="12"/>
    </row>
    <row r="110" spans="1:10" ht="33">
      <c r="A110" s="19">
        <v>107</v>
      </c>
      <c r="B110" s="7">
        <v>45691</v>
      </c>
      <c r="C110" s="8" t="s">
        <v>62</v>
      </c>
      <c r="D110" t="s">
        <v>112</v>
      </c>
      <c r="E110" s="9"/>
      <c r="F110" s="5">
        <f>520300/4</f>
        <v>130075</v>
      </c>
      <c r="G110" s="5">
        <f>E110-F110</f>
        <v>-130075</v>
      </c>
      <c r="H110" s="12" t="s">
        <v>132</v>
      </c>
    </row>
    <row r="111" spans="1:10" ht="17.25">
      <c r="A111" s="19">
        <v>108</v>
      </c>
      <c r="B111" s="7">
        <v>45692</v>
      </c>
      <c r="C111" s="8" t="s">
        <v>65</v>
      </c>
      <c r="D111" t="s">
        <v>38</v>
      </c>
      <c r="E111" s="9">
        <v>500000</v>
      </c>
      <c r="F111" s="5">
        <v>1150250</v>
      </c>
      <c r="G111" s="5">
        <v>-650250</v>
      </c>
      <c r="H111" s="12" t="s">
        <v>84</v>
      </c>
    </row>
    <row r="112" spans="1:10" ht="17.25">
      <c r="A112" s="19">
        <v>109</v>
      </c>
      <c r="B112" s="7">
        <v>45692</v>
      </c>
      <c r="C112" s="8" t="s">
        <v>62</v>
      </c>
      <c r="D112" t="s">
        <v>69</v>
      </c>
      <c r="E112" s="9"/>
      <c r="F112" s="5">
        <f>520300/4</f>
        <v>130075</v>
      </c>
      <c r="G112" s="5">
        <f>E112-F112</f>
        <v>-130075</v>
      </c>
      <c r="H112" s="12"/>
    </row>
    <row r="113" spans="1:8" ht="33">
      <c r="A113" s="19">
        <v>110</v>
      </c>
      <c r="B113" s="7">
        <v>45692</v>
      </c>
      <c r="C113" s="8" t="s">
        <v>63</v>
      </c>
      <c r="D113" t="s">
        <v>39</v>
      </c>
      <c r="E113" s="9"/>
      <c r="F113" s="5">
        <f>1012650/11</f>
        <v>92059.090909090912</v>
      </c>
      <c r="G113" s="5">
        <v>-92059.090909090912</v>
      </c>
      <c r="H113" s="12" t="s">
        <v>135</v>
      </c>
    </row>
    <row r="114" spans="1:8" ht="17.25">
      <c r="A114" s="19">
        <v>111</v>
      </c>
      <c r="B114" s="7">
        <v>45693</v>
      </c>
      <c r="C114" s="8" t="s">
        <v>63</v>
      </c>
      <c r="D114" t="s">
        <v>40</v>
      </c>
      <c r="E114" s="9"/>
      <c r="F114" s="5">
        <f>1012650/11</f>
        <v>92059.090909090912</v>
      </c>
      <c r="G114" s="5">
        <v>-92059.090909090912</v>
      </c>
      <c r="H114" s="12"/>
    </row>
    <row r="115" spans="1:8" ht="17.25">
      <c r="A115" s="19">
        <v>112</v>
      </c>
      <c r="B115" s="7">
        <v>45695</v>
      </c>
      <c r="C115" s="8" t="s">
        <v>63</v>
      </c>
      <c r="D115" t="s">
        <v>70</v>
      </c>
      <c r="E115" s="9"/>
      <c r="F115" s="5">
        <f>1012650/11</f>
        <v>92059.090909090912</v>
      </c>
      <c r="G115" s="5">
        <v>-92059.090909090912</v>
      </c>
      <c r="H115" s="12"/>
    </row>
    <row r="116" spans="1:8" ht="17.25">
      <c r="A116" s="19">
        <v>113</v>
      </c>
      <c r="B116" s="7">
        <v>45697</v>
      </c>
      <c r="C116" s="8" t="s">
        <v>62</v>
      </c>
      <c r="D116" t="s">
        <v>41</v>
      </c>
      <c r="E116" s="9"/>
      <c r="F116" s="5">
        <f>520300/4</f>
        <v>130075</v>
      </c>
      <c r="G116" s="5">
        <f>E116-F116</f>
        <v>-130075</v>
      </c>
      <c r="H116" s="12"/>
    </row>
    <row r="117" spans="1:8" ht="17.25">
      <c r="A117" s="19">
        <v>114</v>
      </c>
      <c r="B117" s="7">
        <v>45699</v>
      </c>
      <c r="C117" s="8" t="s">
        <v>62</v>
      </c>
      <c r="D117" t="s">
        <v>42</v>
      </c>
      <c r="E117" s="9"/>
      <c r="F117" s="5">
        <f>520300/4</f>
        <v>130075</v>
      </c>
      <c r="G117" s="5">
        <f>E117-F117</f>
        <v>-130075</v>
      </c>
      <c r="H117" s="12"/>
    </row>
    <row r="118" spans="1:8" ht="17.25">
      <c r="A118" s="19">
        <v>115</v>
      </c>
      <c r="B118" s="7">
        <v>45701</v>
      </c>
      <c r="C118" s="8" t="s">
        <v>63</v>
      </c>
      <c r="D118" t="s">
        <v>71</v>
      </c>
      <c r="E118" s="9"/>
      <c r="F118" s="5">
        <f>1012650/11</f>
        <v>92059.090909090912</v>
      </c>
      <c r="G118" s="5">
        <v>-92059.090909090912</v>
      </c>
      <c r="H118" s="12"/>
    </row>
    <row r="119" spans="1:8" ht="17.25">
      <c r="A119" s="19">
        <v>116</v>
      </c>
      <c r="B119" s="7">
        <v>45701</v>
      </c>
      <c r="C119" s="8" t="s">
        <v>63</v>
      </c>
      <c r="D119" t="s">
        <v>72</v>
      </c>
      <c r="E119" s="9"/>
      <c r="F119" s="5">
        <f>1012650/11</f>
        <v>92059.090909090912</v>
      </c>
      <c r="G119" s="5">
        <v>-92059.090909090912</v>
      </c>
      <c r="H119" s="12"/>
    </row>
    <row r="120" spans="1:8" ht="17.25">
      <c r="A120" s="19">
        <v>117</v>
      </c>
      <c r="B120" s="7">
        <v>45702</v>
      </c>
      <c r="C120" s="8" t="s">
        <v>65</v>
      </c>
      <c r="D120" t="s">
        <v>43</v>
      </c>
      <c r="E120" s="9">
        <v>500000</v>
      </c>
      <c r="F120" s="5">
        <v>1150250</v>
      </c>
      <c r="G120" s="5">
        <v>-650250</v>
      </c>
      <c r="H120" s="12" t="s">
        <v>84</v>
      </c>
    </row>
    <row r="121" spans="1:8" ht="17.25">
      <c r="A121" s="19">
        <v>118</v>
      </c>
      <c r="B121" s="7">
        <v>45706</v>
      </c>
      <c r="C121" s="8" t="s">
        <v>63</v>
      </c>
      <c r="D121" t="s">
        <v>44</v>
      </c>
      <c r="E121" s="9"/>
      <c r="F121" s="5">
        <f t="shared" ref="F121:F126" si="4">1012650/11</f>
        <v>92059.090909090912</v>
      </c>
      <c r="G121" s="5">
        <v>-92059.090909090912</v>
      </c>
      <c r="H121" s="12"/>
    </row>
    <row r="122" spans="1:8" ht="17.25">
      <c r="A122" s="19">
        <v>119</v>
      </c>
      <c r="B122" s="7">
        <v>45713</v>
      </c>
      <c r="C122" s="8" t="s">
        <v>63</v>
      </c>
      <c r="D122" t="s">
        <v>45</v>
      </c>
      <c r="E122" s="9"/>
      <c r="F122" s="5">
        <f t="shared" si="4"/>
        <v>92059.090909090912</v>
      </c>
      <c r="G122" s="5">
        <v>-92059.090909090912</v>
      </c>
      <c r="H122" s="12"/>
    </row>
    <row r="123" spans="1:8" ht="17.25">
      <c r="A123" s="19">
        <v>120</v>
      </c>
      <c r="B123" s="7">
        <v>45713</v>
      </c>
      <c r="C123" s="8" t="s">
        <v>63</v>
      </c>
      <c r="D123" t="s">
        <v>46</v>
      </c>
      <c r="E123" s="9"/>
      <c r="F123" s="5">
        <f t="shared" si="4"/>
        <v>92059.090909090912</v>
      </c>
      <c r="G123" s="5">
        <v>-92059.090909090912</v>
      </c>
      <c r="H123" s="12"/>
    </row>
    <row r="124" spans="1:8" ht="17.25">
      <c r="A124" s="19">
        <v>121</v>
      </c>
      <c r="B124" s="7">
        <v>45713</v>
      </c>
      <c r="C124" s="8" t="s">
        <v>63</v>
      </c>
      <c r="D124" t="s">
        <v>73</v>
      </c>
      <c r="E124" s="9"/>
      <c r="F124" s="5">
        <f t="shared" si="4"/>
        <v>92059.090909090912</v>
      </c>
      <c r="G124" s="5">
        <v>-92059.090909090912</v>
      </c>
      <c r="H124" s="12"/>
    </row>
    <row r="125" spans="1:8" ht="17.25">
      <c r="A125" s="19">
        <v>122</v>
      </c>
      <c r="B125" s="7">
        <v>45715</v>
      </c>
      <c r="C125" s="8" t="s">
        <v>63</v>
      </c>
      <c r="D125" t="s">
        <v>74</v>
      </c>
      <c r="E125" s="9"/>
      <c r="F125" s="5">
        <f t="shared" si="4"/>
        <v>92059.090909090912</v>
      </c>
      <c r="G125" s="5">
        <v>-92059.090909090912</v>
      </c>
      <c r="H125" s="12"/>
    </row>
    <row r="126" spans="1:8" ht="17.25">
      <c r="A126" s="19">
        <v>123</v>
      </c>
      <c r="B126" s="7">
        <v>45716</v>
      </c>
      <c r="C126" s="8" t="s">
        <v>63</v>
      </c>
      <c r="D126" t="s">
        <v>47</v>
      </c>
      <c r="E126" s="9"/>
      <c r="F126" s="5">
        <f t="shared" si="4"/>
        <v>92059.090909090912</v>
      </c>
      <c r="G126" s="5">
        <v>-92059.090909090912</v>
      </c>
      <c r="H126" s="12"/>
    </row>
    <row r="127" spans="1:8" ht="33">
      <c r="A127" s="19">
        <v>124</v>
      </c>
      <c r="B127" s="7">
        <v>45719</v>
      </c>
      <c r="C127" s="8" t="s">
        <v>62</v>
      </c>
      <c r="D127" t="s">
        <v>77</v>
      </c>
      <c r="E127" s="9"/>
      <c r="F127" s="5">
        <f>520300/2</f>
        <v>260150</v>
      </c>
      <c r="G127" s="5">
        <f t="shared" ref="G127:G134" si="5">E127-F127</f>
        <v>-260150</v>
      </c>
      <c r="H127" s="12" t="s">
        <v>131</v>
      </c>
    </row>
    <row r="128" spans="1:8" ht="33">
      <c r="A128" s="19">
        <v>125</v>
      </c>
      <c r="B128" s="7">
        <v>45727</v>
      </c>
      <c r="C128" s="8" t="s">
        <v>63</v>
      </c>
      <c r="D128" t="s">
        <v>48</v>
      </c>
      <c r="E128" s="9"/>
      <c r="F128" s="5">
        <f t="shared" ref="F128:F134" si="6">1012650/7</f>
        <v>144664.28571428571</v>
      </c>
      <c r="G128" s="5">
        <f t="shared" si="5"/>
        <v>-144664.28571428571</v>
      </c>
      <c r="H128" s="12" t="s">
        <v>136</v>
      </c>
    </row>
    <row r="129" spans="1:8" ht="17.25">
      <c r="A129" s="19">
        <v>126</v>
      </c>
      <c r="B129" s="7">
        <v>45735</v>
      </c>
      <c r="C129" s="8" t="s">
        <v>63</v>
      </c>
      <c r="D129" t="s">
        <v>49</v>
      </c>
      <c r="E129" s="9"/>
      <c r="F129" s="5">
        <f t="shared" si="6"/>
        <v>144664.28571428571</v>
      </c>
      <c r="G129" s="5">
        <f t="shared" si="5"/>
        <v>-144664.28571428571</v>
      </c>
      <c r="H129" s="12"/>
    </row>
    <row r="130" spans="1:8" ht="17.25">
      <c r="A130" s="19">
        <v>127</v>
      </c>
      <c r="B130" s="7">
        <v>45735</v>
      </c>
      <c r="C130" s="8" t="s">
        <v>63</v>
      </c>
      <c r="D130" t="s">
        <v>50</v>
      </c>
      <c r="E130" s="9"/>
      <c r="F130" s="5">
        <f t="shared" si="6"/>
        <v>144664.28571428571</v>
      </c>
      <c r="G130" s="5">
        <f t="shared" si="5"/>
        <v>-144664.28571428571</v>
      </c>
      <c r="H130" s="12"/>
    </row>
    <row r="131" spans="1:8" ht="17.25">
      <c r="A131" s="19">
        <v>128</v>
      </c>
      <c r="B131" s="7">
        <v>45735</v>
      </c>
      <c r="C131" s="8" t="s">
        <v>63</v>
      </c>
      <c r="D131" t="s">
        <v>75</v>
      </c>
      <c r="E131" s="9"/>
      <c r="F131" s="5">
        <f t="shared" si="6"/>
        <v>144664.28571428571</v>
      </c>
      <c r="G131" s="5">
        <f t="shared" si="5"/>
        <v>-144664.28571428571</v>
      </c>
      <c r="H131" s="12"/>
    </row>
    <row r="132" spans="1:8" ht="17.25">
      <c r="A132" s="19">
        <v>129</v>
      </c>
      <c r="B132" s="7">
        <v>45737</v>
      </c>
      <c r="C132" s="8" t="s">
        <v>63</v>
      </c>
      <c r="D132" t="s">
        <v>76</v>
      </c>
      <c r="E132" s="9"/>
      <c r="F132" s="5">
        <f t="shared" si="6"/>
        <v>144664.28571428571</v>
      </c>
      <c r="G132" s="5">
        <f t="shared" si="5"/>
        <v>-144664.28571428571</v>
      </c>
      <c r="H132" s="12"/>
    </row>
    <row r="133" spans="1:8" ht="17.25">
      <c r="A133" s="19">
        <v>130</v>
      </c>
      <c r="B133" s="7">
        <v>45741</v>
      </c>
      <c r="C133" s="8" t="s">
        <v>63</v>
      </c>
      <c r="D133" t="s">
        <v>51</v>
      </c>
      <c r="E133" s="9"/>
      <c r="F133" s="5">
        <f t="shared" si="6"/>
        <v>144664.28571428571</v>
      </c>
      <c r="G133" s="5">
        <f t="shared" si="5"/>
        <v>-144664.28571428571</v>
      </c>
      <c r="H133" s="12"/>
    </row>
    <row r="134" spans="1:8" ht="17.25">
      <c r="A134" s="19">
        <v>131</v>
      </c>
      <c r="B134" s="7">
        <v>45744</v>
      </c>
      <c r="C134" s="8" t="s">
        <v>63</v>
      </c>
      <c r="D134" t="s">
        <v>52</v>
      </c>
      <c r="E134" s="9"/>
      <c r="F134" s="5">
        <f t="shared" si="6"/>
        <v>144664.28571428571</v>
      </c>
      <c r="G134" s="5">
        <f t="shared" si="5"/>
        <v>-144664.28571428571</v>
      </c>
      <c r="H134" s="12"/>
    </row>
    <row r="135" spans="1:8" ht="17.25">
      <c r="A135" s="19">
        <v>132</v>
      </c>
      <c r="B135" s="7">
        <v>45746</v>
      </c>
      <c r="C135" s="8" t="s">
        <v>62</v>
      </c>
      <c r="D135" t="s">
        <v>78</v>
      </c>
      <c r="E135" s="9"/>
      <c r="F135" s="5">
        <f>520300/2</f>
        <v>260150</v>
      </c>
      <c r="G135" s="5">
        <v>-260150</v>
      </c>
      <c r="H135" s="12"/>
    </row>
    <row r="136" spans="1:8" ht="33">
      <c r="A136" s="19">
        <v>133</v>
      </c>
      <c r="B136" s="7">
        <v>45749</v>
      </c>
      <c r="C136" s="8" t="s">
        <v>63</v>
      </c>
      <c r="D136" t="s">
        <v>53</v>
      </c>
      <c r="E136" s="9"/>
      <c r="F136" s="5">
        <f t="shared" ref="F136:F141" si="7">1012650/10</f>
        <v>101265</v>
      </c>
      <c r="G136" s="5">
        <f t="shared" ref="G136:G199" si="8">E136-F136</f>
        <v>-101265</v>
      </c>
      <c r="H136" s="12" t="s">
        <v>137</v>
      </c>
    </row>
    <row r="137" spans="1:8" ht="17.25">
      <c r="A137" s="19">
        <v>134</v>
      </c>
      <c r="B137" s="7">
        <v>45750</v>
      </c>
      <c r="C137" s="8" t="s">
        <v>63</v>
      </c>
      <c r="D137" t="s">
        <v>54</v>
      </c>
      <c r="E137" s="9"/>
      <c r="F137" s="5">
        <f t="shared" si="7"/>
        <v>101265</v>
      </c>
      <c r="G137" s="5">
        <f t="shared" si="8"/>
        <v>-101265</v>
      </c>
      <c r="H137" s="12"/>
    </row>
    <row r="138" spans="1:8" ht="17.25">
      <c r="A138" s="19">
        <v>135</v>
      </c>
      <c r="B138" s="7">
        <v>45750</v>
      </c>
      <c r="C138" s="8" t="s">
        <v>63</v>
      </c>
      <c r="D138" t="s">
        <v>55</v>
      </c>
      <c r="E138" s="9"/>
      <c r="F138" s="5">
        <f t="shared" si="7"/>
        <v>101265</v>
      </c>
      <c r="G138" s="5">
        <f t="shared" si="8"/>
        <v>-101265</v>
      </c>
      <c r="H138" s="12"/>
    </row>
    <row r="139" spans="1:8" ht="17.25">
      <c r="A139" s="19">
        <v>136</v>
      </c>
      <c r="B139" s="7">
        <v>45751</v>
      </c>
      <c r="C139" s="8" t="s">
        <v>63</v>
      </c>
      <c r="D139" t="s">
        <v>56</v>
      </c>
      <c r="E139" s="9"/>
      <c r="F139" s="5">
        <f t="shared" si="7"/>
        <v>101265</v>
      </c>
      <c r="G139" s="5">
        <f t="shared" si="8"/>
        <v>-101265</v>
      </c>
      <c r="H139" s="12"/>
    </row>
    <row r="140" spans="1:8" ht="17.25">
      <c r="A140" s="19">
        <v>137</v>
      </c>
      <c r="B140" s="7">
        <v>45751</v>
      </c>
      <c r="C140" s="8" t="s">
        <v>63</v>
      </c>
      <c r="D140" t="s">
        <v>57</v>
      </c>
      <c r="E140" s="9"/>
      <c r="F140" s="5">
        <f t="shared" si="7"/>
        <v>101265</v>
      </c>
      <c r="G140" s="5">
        <f t="shared" si="8"/>
        <v>-101265</v>
      </c>
      <c r="H140" s="12"/>
    </row>
    <row r="141" spans="1:8" ht="17.25">
      <c r="A141" s="19">
        <v>138</v>
      </c>
      <c r="B141" s="7">
        <v>45754</v>
      </c>
      <c r="C141" s="8" t="s">
        <v>63</v>
      </c>
      <c r="D141" t="s">
        <v>58</v>
      </c>
      <c r="E141" s="9"/>
      <c r="F141" s="5">
        <f t="shared" si="7"/>
        <v>101265</v>
      </c>
      <c r="G141" s="5">
        <f t="shared" si="8"/>
        <v>-101265</v>
      </c>
      <c r="H141" s="12"/>
    </row>
    <row r="142" spans="1:8" ht="33">
      <c r="A142" s="19">
        <v>139</v>
      </c>
      <c r="B142" s="7">
        <v>45754</v>
      </c>
      <c r="C142" s="8" t="s">
        <v>62</v>
      </c>
      <c r="D142" t="s">
        <v>79</v>
      </c>
      <c r="E142" s="9"/>
      <c r="F142" s="5">
        <f>520300/2</f>
        <v>260150</v>
      </c>
      <c r="G142" s="5">
        <f t="shared" si="8"/>
        <v>-260150</v>
      </c>
      <c r="H142" s="12" t="s">
        <v>130</v>
      </c>
    </row>
    <row r="143" spans="1:8" ht="17.25">
      <c r="A143" s="19">
        <v>140</v>
      </c>
      <c r="B143" s="7">
        <v>45755</v>
      </c>
      <c r="C143" s="8" t="s">
        <v>63</v>
      </c>
      <c r="D143" t="s">
        <v>59</v>
      </c>
      <c r="E143" s="9"/>
      <c r="F143" s="5">
        <f>1012650/10</f>
        <v>101265</v>
      </c>
      <c r="G143" s="5">
        <f t="shared" si="8"/>
        <v>-101265</v>
      </c>
      <c r="H143" s="12"/>
    </row>
    <row r="144" spans="1:8" ht="17.25">
      <c r="A144" s="19">
        <v>141</v>
      </c>
      <c r="B144" s="7">
        <v>45755</v>
      </c>
      <c r="C144" s="8" t="s">
        <v>63</v>
      </c>
      <c r="D144" t="s">
        <v>60</v>
      </c>
      <c r="E144" s="9"/>
      <c r="F144" s="5">
        <f>1012650/10</f>
        <v>101265</v>
      </c>
      <c r="G144" s="5">
        <f t="shared" si="8"/>
        <v>-101265</v>
      </c>
      <c r="H144" s="12"/>
    </row>
    <row r="145" spans="1:8" ht="17.25">
      <c r="A145" s="19">
        <v>142</v>
      </c>
      <c r="B145" s="7">
        <v>45762</v>
      </c>
      <c r="C145" s="8" t="s">
        <v>63</v>
      </c>
      <c r="D145" t="s">
        <v>61</v>
      </c>
      <c r="E145" s="9"/>
      <c r="F145" s="5">
        <f>1012650/10</f>
        <v>101265</v>
      </c>
      <c r="G145" s="5">
        <f t="shared" si="8"/>
        <v>-101265</v>
      </c>
      <c r="H145" s="12"/>
    </row>
    <row r="146" spans="1:8" ht="17.25">
      <c r="A146" s="19">
        <v>143</v>
      </c>
      <c r="B146" s="7">
        <v>45764</v>
      </c>
      <c r="C146" s="8" t="s">
        <v>63</v>
      </c>
      <c r="D146" t="s">
        <v>113</v>
      </c>
      <c r="F146" s="5">
        <f>1012650/10</f>
        <v>101265</v>
      </c>
      <c r="G146" s="5">
        <f t="shared" si="8"/>
        <v>-101265</v>
      </c>
    </row>
    <row r="147" spans="1:8" ht="17.25">
      <c r="A147" s="19">
        <v>144</v>
      </c>
      <c r="B147" s="7">
        <v>45776</v>
      </c>
      <c r="C147" s="8" t="s">
        <v>62</v>
      </c>
      <c r="D147" t="s">
        <v>115</v>
      </c>
      <c r="F147" s="5">
        <f>520300/2</f>
        <v>260150</v>
      </c>
      <c r="G147" s="5">
        <f t="shared" si="8"/>
        <v>-260150</v>
      </c>
    </row>
    <row r="148" spans="1:8" ht="33">
      <c r="A148" s="19">
        <v>145</v>
      </c>
      <c r="B148" s="7">
        <v>45784</v>
      </c>
      <c r="C148" s="8" t="s">
        <v>63</v>
      </c>
      <c r="D148" t="s">
        <v>143</v>
      </c>
      <c r="F148" s="5">
        <f t="shared" ref="F148:F158" si="9">1012650/11</f>
        <v>92059.090909090912</v>
      </c>
      <c r="G148" s="5">
        <f t="shared" si="8"/>
        <v>-92059.090909090912</v>
      </c>
      <c r="H148" s="12" t="s">
        <v>306</v>
      </c>
    </row>
    <row r="149" spans="1:8" ht="17.25">
      <c r="A149" s="19">
        <v>146</v>
      </c>
      <c r="B149" s="7">
        <v>45784</v>
      </c>
      <c r="C149" s="8" t="s">
        <v>63</v>
      </c>
      <c r="D149" t="s">
        <v>116</v>
      </c>
      <c r="F149" s="5">
        <f t="shared" si="9"/>
        <v>92059.090909090912</v>
      </c>
      <c r="G149" s="5">
        <f t="shared" si="8"/>
        <v>-92059.090909090912</v>
      </c>
    </row>
    <row r="150" spans="1:8" ht="17.25">
      <c r="A150" s="19">
        <v>147</v>
      </c>
      <c r="B150" s="7">
        <v>45784</v>
      </c>
      <c r="C150" s="8" t="s">
        <v>63</v>
      </c>
      <c r="D150" t="s">
        <v>117</v>
      </c>
      <c r="F150" s="5">
        <f t="shared" si="9"/>
        <v>92059.090909090912</v>
      </c>
      <c r="G150" s="5">
        <f t="shared" si="8"/>
        <v>-92059.090909090912</v>
      </c>
    </row>
    <row r="151" spans="1:8" ht="17.25">
      <c r="A151" s="19">
        <v>148</v>
      </c>
      <c r="B151" s="7">
        <v>45785</v>
      </c>
      <c r="C151" s="8" t="s">
        <v>63</v>
      </c>
      <c r="D151" t="s">
        <v>118</v>
      </c>
      <c r="F151" s="5">
        <f t="shared" si="9"/>
        <v>92059.090909090912</v>
      </c>
      <c r="G151" s="5">
        <f t="shared" si="8"/>
        <v>-92059.090909090912</v>
      </c>
    </row>
    <row r="152" spans="1:8" ht="17.25">
      <c r="A152" s="19">
        <v>149</v>
      </c>
      <c r="B152" s="7">
        <v>45785</v>
      </c>
      <c r="C152" s="8" t="s">
        <v>63</v>
      </c>
      <c r="D152" t="s">
        <v>119</v>
      </c>
      <c r="F152" s="5">
        <f t="shared" si="9"/>
        <v>92059.090909090912</v>
      </c>
      <c r="G152" s="5">
        <f t="shared" si="8"/>
        <v>-92059.090909090912</v>
      </c>
    </row>
    <row r="153" spans="1:8" ht="17.25">
      <c r="A153" s="19">
        <v>150</v>
      </c>
      <c r="B153" s="7">
        <v>45785</v>
      </c>
      <c r="C153" s="8" t="s">
        <v>63</v>
      </c>
      <c r="D153" t="s">
        <v>120</v>
      </c>
      <c r="F153" s="5">
        <f t="shared" si="9"/>
        <v>92059.090909090912</v>
      </c>
      <c r="G153" s="5">
        <f t="shared" si="8"/>
        <v>-92059.090909090912</v>
      </c>
    </row>
    <row r="154" spans="1:8" ht="17.25">
      <c r="A154" s="19">
        <v>151</v>
      </c>
      <c r="B154" s="7">
        <v>45790</v>
      </c>
      <c r="C154" s="8" t="s">
        <v>63</v>
      </c>
      <c r="D154" t="s">
        <v>142</v>
      </c>
      <c r="F154" s="5">
        <f t="shared" si="9"/>
        <v>92059.090909090912</v>
      </c>
      <c r="G154" s="5">
        <f t="shared" si="8"/>
        <v>-92059.090909090912</v>
      </c>
    </row>
    <row r="155" spans="1:8" ht="17.25">
      <c r="A155" s="19">
        <v>152</v>
      </c>
      <c r="B155" s="7">
        <v>45791</v>
      </c>
      <c r="C155" s="8" t="s">
        <v>63</v>
      </c>
      <c r="D155" t="s">
        <v>121</v>
      </c>
      <c r="F155" s="5">
        <f t="shared" si="9"/>
        <v>92059.090909090912</v>
      </c>
      <c r="G155" s="5">
        <f t="shared" si="8"/>
        <v>-92059.090909090912</v>
      </c>
    </row>
    <row r="156" spans="1:8" ht="17.25">
      <c r="A156" s="19">
        <v>153</v>
      </c>
      <c r="B156" s="7">
        <v>45791</v>
      </c>
      <c r="C156" s="8" t="s">
        <v>63</v>
      </c>
      <c r="D156" t="s">
        <v>122</v>
      </c>
      <c r="F156" s="5">
        <f t="shared" si="9"/>
        <v>92059.090909090912</v>
      </c>
      <c r="G156" s="5">
        <f t="shared" si="8"/>
        <v>-92059.090909090912</v>
      </c>
    </row>
    <row r="157" spans="1:8" ht="17.25">
      <c r="A157" s="19">
        <v>154</v>
      </c>
      <c r="B157" s="7">
        <v>45791</v>
      </c>
      <c r="C157" s="8" t="s">
        <v>63</v>
      </c>
      <c r="D157" t="s">
        <v>123</v>
      </c>
      <c r="F157" s="5">
        <f t="shared" si="9"/>
        <v>92059.090909090912</v>
      </c>
      <c r="G157" s="5">
        <f t="shared" si="8"/>
        <v>-92059.090909090912</v>
      </c>
    </row>
    <row r="158" spans="1:8" ht="17.25">
      <c r="A158" s="19">
        <v>155</v>
      </c>
      <c r="B158" s="7">
        <v>45791</v>
      </c>
      <c r="C158" s="8" t="s">
        <v>63</v>
      </c>
      <c r="D158" t="s">
        <v>124</v>
      </c>
      <c r="F158" s="5">
        <f t="shared" si="9"/>
        <v>92059.090909090912</v>
      </c>
      <c r="G158" s="5">
        <f t="shared" si="8"/>
        <v>-92059.090909090912</v>
      </c>
    </row>
    <row r="159" spans="1:8" ht="33">
      <c r="A159" s="19">
        <v>156</v>
      </c>
      <c r="B159" s="7">
        <v>45796</v>
      </c>
      <c r="C159" s="8" t="s">
        <v>62</v>
      </c>
      <c r="D159" t="s">
        <v>125</v>
      </c>
      <c r="F159" s="5">
        <f t="shared" ref="F159:F164" si="10">1040600/6</f>
        <v>173433.33333333334</v>
      </c>
      <c r="G159" s="5">
        <f t="shared" si="8"/>
        <v>-173433.33333333334</v>
      </c>
      <c r="H159" s="12" t="s">
        <v>159</v>
      </c>
    </row>
    <row r="160" spans="1:8" ht="17.25">
      <c r="A160" s="19">
        <v>157</v>
      </c>
      <c r="B160" s="7">
        <v>45797</v>
      </c>
      <c r="C160" s="8" t="s">
        <v>62</v>
      </c>
      <c r="D160" t="s">
        <v>126</v>
      </c>
      <c r="F160" s="5">
        <f t="shared" si="10"/>
        <v>173433.33333333334</v>
      </c>
      <c r="G160" s="5">
        <f t="shared" si="8"/>
        <v>-173433.33333333334</v>
      </c>
    </row>
    <row r="161" spans="1:8" ht="17.25">
      <c r="A161" s="19">
        <v>158</v>
      </c>
      <c r="B161" s="7">
        <v>45797</v>
      </c>
      <c r="C161" s="8" t="s">
        <v>62</v>
      </c>
      <c r="D161" t="s">
        <v>127</v>
      </c>
      <c r="F161" s="5">
        <f t="shared" si="10"/>
        <v>173433.33333333334</v>
      </c>
      <c r="G161" s="5">
        <f t="shared" si="8"/>
        <v>-173433.33333333334</v>
      </c>
    </row>
    <row r="162" spans="1:8" ht="17.25">
      <c r="A162" s="19">
        <v>159</v>
      </c>
      <c r="B162" s="7">
        <v>45800</v>
      </c>
      <c r="C162" s="8" t="s">
        <v>62</v>
      </c>
      <c r="D162" t="s">
        <v>128</v>
      </c>
      <c r="F162" s="5">
        <f t="shared" si="10"/>
        <v>173433.33333333334</v>
      </c>
      <c r="G162" s="5">
        <f t="shared" si="8"/>
        <v>-173433.33333333334</v>
      </c>
    </row>
    <row r="163" spans="1:8" ht="17.25">
      <c r="A163" s="19">
        <v>160</v>
      </c>
      <c r="B163" s="7">
        <v>45801</v>
      </c>
      <c r="C163" s="8" t="s">
        <v>62</v>
      </c>
      <c r="D163" t="s">
        <v>129</v>
      </c>
      <c r="F163" s="5">
        <f t="shared" si="10"/>
        <v>173433.33333333334</v>
      </c>
      <c r="G163" s="5">
        <f t="shared" si="8"/>
        <v>-173433.33333333334</v>
      </c>
    </row>
    <row r="164" spans="1:8" ht="17.25">
      <c r="A164" s="19">
        <v>161</v>
      </c>
      <c r="B164" s="7">
        <v>45803</v>
      </c>
      <c r="C164" s="8" t="s">
        <v>62</v>
      </c>
      <c r="D164" t="s">
        <v>156</v>
      </c>
      <c r="F164" s="5">
        <f t="shared" si="10"/>
        <v>173433.33333333334</v>
      </c>
      <c r="G164" s="5">
        <f t="shared" si="8"/>
        <v>-173433.33333333334</v>
      </c>
    </row>
    <row r="165" spans="1:8" ht="33">
      <c r="A165" s="19">
        <v>162</v>
      </c>
      <c r="B165" s="7">
        <v>45811</v>
      </c>
      <c r="C165" s="8" t="s">
        <v>63</v>
      </c>
      <c r="D165" t="s">
        <v>157</v>
      </c>
      <c r="F165" s="5">
        <f t="shared" ref="F165:F170" si="11">1012650/6</f>
        <v>168775</v>
      </c>
      <c r="G165" s="5">
        <f t="shared" si="8"/>
        <v>-168775</v>
      </c>
      <c r="H165" s="12" t="s">
        <v>307</v>
      </c>
    </row>
    <row r="166" spans="1:8" ht="17.25">
      <c r="A166" s="19">
        <v>163</v>
      </c>
      <c r="B166" s="7">
        <v>45818</v>
      </c>
      <c r="C166" s="8" t="s">
        <v>63</v>
      </c>
      <c r="D166" t="s">
        <v>153</v>
      </c>
      <c r="F166" s="5">
        <f t="shared" si="11"/>
        <v>168775</v>
      </c>
      <c r="G166" s="5">
        <f t="shared" si="8"/>
        <v>-168775</v>
      </c>
      <c r="H166"/>
    </row>
    <row r="167" spans="1:8" ht="17.25">
      <c r="A167" s="19">
        <v>164</v>
      </c>
      <c r="B167" s="7">
        <v>45821</v>
      </c>
      <c r="C167" s="8" t="s">
        <v>63</v>
      </c>
      <c r="D167" t="s">
        <v>154</v>
      </c>
      <c r="F167" s="5">
        <f t="shared" si="11"/>
        <v>168775</v>
      </c>
      <c r="G167" s="5">
        <f t="shared" si="8"/>
        <v>-168775</v>
      </c>
    </row>
    <row r="168" spans="1:8" ht="17.25">
      <c r="A168" s="19">
        <v>165</v>
      </c>
      <c r="B168" s="7">
        <v>45826</v>
      </c>
      <c r="C168" s="8" t="s">
        <v>63</v>
      </c>
      <c r="D168" t="s">
        <v>155</v>
      </c>
      <c r="F168" s="5">
        <f t="shared" si="11"/>
        <v>168775</v>
      </c>
      <c r="G168" s="5">
        <f t="shared" si="8"/>
        <v>-168775</v>
      </c>
    </row>
    <row r="169" spans="1:8" ht="17.25">
      <c r="A169" s="19">
        <v>166</v>
      </c>
      <c r="B169" s="7">
        <v>45827</v>
      </c>
      <c r="C169" s="8" t="s">
        <v>63</v>
      </c>
      <c r="D169" t="s">
        <v>158</v>
      </c>
      <c r="F169" s="5">
        <f t="shared" si="11"/>
        <v>168775</v>
      </c>
      <c r="G169" s="5">
        <f t="shared" si="8"/>
        <v>-168775</v>
      </c>
    </row>
    <row r="170" spans="1:8" ht="17.25">
      <c r="A170" s="19">
        <v>167</v>
      </c>
      <c r="B170" s="7">
        <v>45835</v>
      </c>
      <c r="C170" s="8" t="s">
        <v>63</v>
      </c>
      <c r="D170" t="s">
        <v>164</v>
      </c>
      <c r="F170" s="5">
        <f t="shared" si="11"/>
        <v>168775</v>
      </c>
      <c r="G170" s="5">
        <f t="shared" si="8"/>
        <v>-168775</v>
      </c>
    </row>
    <row r="171" spans="1:8" ht="33">
      <c r="A171" s="19">
        <v>168</v>
      </c>
      <c r="B171" s="7">
        <v>45838</v>
      </c>
      <c r="C171" s="8" t="s">
        <v>62</v>
      </c>
      <c r="D171" t="s">
        <v>165</v>
      </c>
      <c r="F171" s="5">
        <f>520300/1</f>
        <v>520300</v>
      </c>
      <c r="G171" s="5">
        <f t="shared" si="8"/>
        <v>-520300</v>
      </c>
      <c r="H171" s="25" t="s">
        <v>308</v>
      </c>
    </row>
    <row r="172" spans="1:8" ht="33">
      <c r="A172" s="19">
        <v>169</v>
      </c>
      <c r="B172" s="7">
        <v>45841</v>
      </c>
      <c r="C172" s="8" t="s">
        <v>63</v>
      </c>
      <c r="D172" t="s">
        <v>166</v>
      </c>
      <c r="F172" s="5">
        <f>1012650/6</f>
        <v>168775</v>
      </c>
      <c r="G172" s="5">
        <f t="shared" si="8"/>
        <v>-168775</v>
      </c>
      <c r="H172" s="25" t="s">
        <v>309</v>
      </c>
    </row>
    <row r="173" spans="1:8" ht="17.25">
      <c r="A173" s="19">
        <v>170</v>
      </c>
      <c r="B173" s="7">
        <v>45841</v>
      </c>
      <c r="C173" s="8" t="s">
        <v>63</v>
      </c>
      <c r="D173" t="s">
        <v>167</v>
      </c>
      <c r="F173" s="5">
        <f>1012650/6</f>
        <v>168775</v>
      </c>
      <c r="G173" s="5">
        <f t="shared" si="8"/>
        <v>-168775</v>
      </c>
    </row>
    <row r="174" spans="1:8" ht="17.25">
      <c r="A174" s="19">
        <v>171</v>
      </c>
      <c r="B174" s="7">
        <v>45842</v>
      </c>
      <c r="C174" s="8" t="s">
        <v>63</v>
      </c>
      <c r="D174" t="s">
        <v>168</v>
      </c>
      <c r="F174" s="5">
        <f>1012650/6</f>
        <v>168775</v>
      </c>
      <c r="G174" s="5">
        <f t="shared" si="8"/>
        <v>-168775</v>
      </c>
    </row>
    <row r="175" spans="1:8" ht="33">
      <c r="A175" s="19">
        <v>172</v>
      </c>
      <c r="B175" s="7">
        <v>45855</v>
      </c>
      <c r="C175" s="8" t="s">
        <v>62</v>
      </c>
      <c r="D175" t="s">
        <v>169</v>
      </c>
      <c r="F175" s="5">
        <f>520300/3</f>
        <v>173433.33333333334</v>
      </c>
      <c r="G175" s="5">
        <f t="shared" si="8"/>
        <v>-173433.33333333334</v>
      </c>
      <c r="H175" s="25" t="s">
        <v>310</v>
      </c>
    </row>
    <row r="176" spans="1:8" ht="17.25">
      <c r="A176" s="19">
        <v>173</v>
      </c>
      <c r="B176" s="7">
        <v>45855</v>
      </c>
      <c r="C176" s="8" t="s">
        <v>62</v>
      </c>
      <c r="D176" t="s">
        <v>170</v>
      </c>
      <c r="F176" s="5">
        <f>520300/3</f>
        <v>173433.33333333334</v>
      </c>
      <c r="G176" s="5">
        <f t="shared" si="8"/>
        <v>-173433.33333333334</v>
      </c>
    </row>
    <row r="177" spans="1:8" ht="17.25">
      <c r="A177" s="19">
        <v>174</v>
      </c>
      <c r="B177" s="7">
        <v>45860</v>
      </c>
      <c r="C177" s="8" t="s">
        <v>62</v>
      </c>
      <c r="D177" t="s">
        <v>198</v>
      </c>
      <c r="F177" s="5">
        <f>520300/3</f>
        <v>173433.33333333334</v>
      </c>
      <c r="G177" s="5">
        <f t="shared" si="8"/>
        <v>-173433.33333333334</v>
      </c>
    </row>
    <row r="178" spans="1:8" ht="17.25">
      <c r="A178" s="19">
        <v>175</v>
      </c>
      <c r="B178" s="7">
        <v>45860</v>
      </c>
      <c r="C178" s="8" t="s">
        <v>63</v>
      </c>
      <c r="D178" t="s">
        <v>199</v>
      </c>
      <c r="F178" s="5">
        <f>1012650/6</f>
        <v>168775</v>
      </c>
      <c r="G178" s="5">
        <f t="shared" si="8"/>
        <v>-168775</v>
      </c>
    </row>
    <row r="179" spans="1:8" ht="17.25">
      <c r="A179" s="19">
        <v>176</v>
      </c>
      <c r="B179" s="7">
        <v>45860</v>
      </c>
      <c r="C179" s="8" t="s">
        <v>63</v>
      </c>
      <c r="D179" t="s">
        <v>200</v>
      </c>
      <c r="F179" s="5">
        <f>1012650/6</f>
        <v>168775</v>
      </c>
      <c r="G179" s="5">
        <f t="shared" si="8"/>
        <v>-168775</v>
      </c>
    </row>
    <row r="180" spans="1:8" ht="17.25">
      <c r="A180" s="19">
        <v>177</v>
      </c>
      <c r="B180" s="7">
        <v>45861</v>
      </c>
      <c r="C180" s="8" t="s">
        <v>63</v>
      </c>
      <c r="D180" t="s">
        <v>201</v>
      </c>
      <c r="F180" s="5">
        <f>1012650/6</f>
        <v>168775</v>
      </c>
      <c r="G180" s="5">
        <f t="shared" si="8"/>
        <v>-168775</v>
      </c>
    </row>
    <row r="181" spans="1:8" ht="33">
      <c r="A181" s="19">
        <v>178</v>
      </c>
      <c r="B181" s="7">
        <v>45870</v>
      </c>
      <c r="C181" s="8" t="s">
        <v>63</v>
      </c>
      <c r="D181" t="s">
        <v>202</v>
      </c>
      <c r="F181" s="6">
        <f>506325/2</f>
        <v>253162.5</v>
      </c>
      <c r="G181" s="5">
        <f t="shared" si="8"/>
        <v>-253162.5</v>
      </c>
      <c r="H181" s="25" t="s">
        <v>311</v>
      </c>
    </row>
    <row r="182" spans="1:8" ht="17.25">
      <c r="A182" s="19">
        <v>179</v>
      </c>
      <c r="B182" s="7">
        <v>45875</v>
      </c>
      <c r="C182" s="8" t="s">
        <v>63</v>
      </c>
      <c r="D182" t="s">
        <v>203</v>
      </c>
      <c r="F182" s="6">
        <f>506325/2</f>
        <v>253162.5</v>
      </c>
      <c r="G182" s="5">
        <f t="shared" si="8"/>
        <v>-253162.5</v>
      </c>
    </row>
    <row r="183" spans="1:8" ht="33">
      <c r="A183" s="19">
        <v>180</v>
      </c>
      <c r="B183" s="7">
        <v>45894</v>
      </c>
      <c r="C183" s="8" t="s">
        <v>64</v>
      </c>
      <c r="D183" t="s">
        <v>204</v>
      </c>
      <c r="F183" s="9">
        <v>576200</v>
      </c>
      <c r="G183" s="5">
        <f t="shared" si="8"/>
        <v>-576200</v>
      </c>
      <c r="H183" s="12" t="s">
        <v>205</v>
      </c>
    </row>
    <row r="184" spans="1:8" ht="33">
      <c r="A184" s="19">
        <v>181</v>
      </c>
      <c r="B184" s="7">
        <v>45896</v>
      </c>
      <c r="C184" s="8" t="s">
        <v>62</v>
      </c>
      <c r="D184" s="20" t="s">
        <v>262</v>
      </c>
      <c r="F184" s="9">
        <v>520300</v>
      </c>
      <c r="G184" s="5">
        <f t="shared" si="8"/>
        <v>-520300</v>
      </c>
      <c r="H184" s="25" t="s">
        <v>312</v>
      </c>
    </row>
    <row r="185" spans="1:8" ht="33">
      <c r="A185" s="19">
        <v>182</v>
      </c>
      <c r="B185" s="7">
        <v>45901</v>
      </c>
      <c r="C185" s="8" t="s">
        <v>264</v>
      </c>
      <c r="D185" t="s">
        <v>233</v>
      </c>
      <c r="F185" s="9">
        <f>1012650/11</f>
        <v>92059.090909090912</v>
      </c>
      <c r="G185" s="5">
        <f t="shared" si="8"/>
        <v>-92059.090909090912</v>
      </c>
      <c r="H185" s="25" t="s">
        <v>313</v>
      </c>
    </row>
    <row r="186" spans="1:8" ht="17.25">
      <c r="A186" s="19">
        <v>183</v>
      </c>
      <c r="B186" s="7">
        <v>45902</v>
      </c>
      <c r="C186" s="8" t="s">
        <v>63</v>
      </c>
      <c r="D186" t="s">
        <v>234</v>
      </c>
      <c r="F186" s="9">
        <f>1012650/11</f>
        <v>92059.090909090912</v>
      </c>
      <c r="G186" s="5">
        <f t="shared" si="8"/>
        <v>-92059.090909090912</v>
      </c>
    </row>
    <row r="187" spans="1:8" ht="33">
      <c r="A187" s="19">
        <v>184</v>
      </c>
      <c r="B187" s="7">
        <v>45905</v>
      </c>
      <c r="C187" s="8" t="s">
        <v>62</v>
      </c>
      <c r="D187" s="20" t="s">
        <v>257</v>
      </c>
      <c r="F187" s="5">
        <f>520300</f>
        <v>520300</v>
      </c>
      <c r="G187" s="5">
        <f t="shared" si="8"/>
        <v>-520300</v>
      </c>
      <c r="H187" s="25" t="s">
        <v>314</v>
      </c>
    </row>
    <row r="188" spans="1:8" ht="33">
      <c r="A188" s="19">
        <v>185</v>
      </c>
      <c r="B188" s="7">
        <v>45912</v>
      </c>
      <c r="C188" s="8" t="s">
        <v>63</v>
      </c>
      <c r="D188" s="20" t="s">
        <v>258</v>
      </c>
      <c r="F188" s="9">
        <f t="shared" ref="F188:F195" si="12">1012650/11</f>
        <v>92059.090909090912</v>
      </c>
      <c r="G188" s="5">
        <f t="shared" si="8"/>
        <v>-92059.090909090912</v>
      </c>
    </row>
    <row r="189" spans="1:8" ht="17.25">
      <c r="A189" s="19">
        <v>186</v>
      </c>
      <c r="B189" s="7">
        <v>45916</v>
      </c>
      <c r="C189" s="8" t="s">
        <v>63</v>
      </c>
      <c r="D189" t="s">
        <v>235</v>
      </c>
      <c r="F189" s="9">
        <f t="shared" si="12"/>
        <v>92059.090909090912</v>
      </c>
      <c r="G189" s="5">
        <f t="shared" si="8"/>
        <v>-92059.090909090912</v>
      </c>
    </row>
    <row r="190" spans="1:8" ht="17.25">
      <c r="A190" s="19">
        <v>187</v>
      </c>
      <c r="B190" s="7">
        <v>45923</v>
      </c>
      <c r="C190" s="8" t="s">
        <v>63</v>
      </c>
      <c r="D190" t="s">
        <v>236</v>
      </c>
      <c r="F190" s="9">
        <f t="shared" si="12"/>
        <v>92059.090909090912</v>
      </c>
      <c r="G190" s="5">
        <f t="shared" si="8"/>
        <v>-92059.090909090912</v>
      </c>
    </row>
    <row r="191" spans="1:8" ht="17.25">
      <c r="A191" s="19">
        <v>188</v>
      </c>
      <c r="B191" s="7">
        <v>45925</v>
      </c>
      <c r="C191" s="8" t="s">
        <v>63</v>
      </c>
      <c r="D191" t="s">
        <v>237</v>
      </c>
      <c r="F191" s="9">
        <f t="shared" si="12"/>
        <v>92059.090909090912</v>
      </c>
      <c r="G191" s="5">
        <f t="shared" si="8"/>
        <v>-92059.090909090912</v>
      </c>
    </row>
    <row r="192" spans="1:8" ht="17.25">
      <c r="A192" s="19">
        <v>189</v>
      </c>
      <c r="B192" s="7">
        <v>45925</v>
      </c>
      <c r="C192" s="8" t="s">
        <v>63</v>
      </c>
      <c r="D192" t="s">
        <v>238</v>
      </c>
      <c r="F192" s="9">
        <f t="shared" si="12"/>
        <v>92059.090909090912</v>
      </c>
      <c r="G192" s="5">
        <f t="shared" si="8"/>
        <v>-92059.090909090912</v>
      </c>
    </row>
    <row r="193" spans="1:8" ht="17.25">
      <c r="A193" s="19">
        <v>190</v>
      </c>
      <c r="B193" s="7">
        <v>45925</v>
      </c>
      <c r="C193" s="8" t="s">
        <v>63</v>
      </c>
      <c r="D193" t="s">
        <v>239</v>
      </c>
      <c r="F193" s="9">
        <f t="shared" si="12"/>
        <v>92059.090909090912</v>
      </c>
      <c r="G193" s="5">
        <f t="shared" si="8"/>
        <v>-92059.090909090912</v>
      </c>
    </row>
    <row r="194" spans="1:8" ht="49.5">
      <c r="A194" s="19">
        <v>191</v>
      </c>
      <c r="B194" s="7">
        <v>45926</v>
      </c>
      <c r="C194" s="8" t="s">
        <v>63</v>
      </c>
      <c r="D194" s="20" t="s">
        <v>259</v>
      </c>
      <c r="F194" s="9">
        <f t="shared" si="12"/>
        <v>92059.090909090912</v>
      </c>
      <c r="G194" s="5">
        <f t="shared" si="8"/>
        <v>-92059.090909090912</v>
      </c>
    </row>
    <row r="195" spans="1:8" ht="17.25">
      <c r="A195" s="19">
        <v>192</v>
      </c>
      <c r="B195" s="7">
        <v>45929</v>
      </c>
      <c r="C195" s="8" t="s">
        <v>63</v>
      </c>
      <c r="D195" t="s">
        <v>240</v>
      </c>
      <c r="F195" s="9">
        <f t="shared" si="12"/>
        <v>92059.090909090912</v>
      </c>
      <c r="G195" s="5">
        <f t="shared" si="8"/>
        <v>-92059.090909090912</v>
      </c>
    </row>
    <row r="196" spans="1:8" ht="33">
      <c r="A196" s="19">
        <v>193</v>
      </c>
      <c r="B196" s="7">
        <v>45941</v>
      </c>
      <c r="C196" s="8" t="s">
        <v>63</v>
      </c>
      <c r="D196" s="20" t="s">
        <v>260</v>
      </c>
      <c r="F196" s="9">
        <f>1012650/11</f>
        <v>92059.090909090912</v>
      </c>
      <c r="G196" s="5">
        <f t="shared" si="8"/>
        <v>-92059.090909090912</v>
      </c>
      <c r="H196" s="25" t="s">
        <v>315</v>
      </c>
    </row>
    <row r="197" spans="1:8" ht="17.25">
      <c r="A197" s="19">
        <v>194</v>
      </c>
      <c r="B197" s="7">
        <v>45943</v>
      </c>
      <c r="C197" s="8" t="s">
        <v>63</v>
      </c>
      <c r="D197" t="s">
        <v>241</v>
      </c>
      <c r="F197" s="9">
        <f t="shared" ref="F197:F204" si="13">1012650/11</f>
        <v>92059.090909090912</v>
      </c>
      <c r="G197" s="5">
        <f t="shared" si="8"/>
        <v>-92059.090909090912</v>
      </c>
    </row>
    <row r="198" spans="1:8" ht="17.25">
      <c r="A198" s="19">
        <v>195</v>
      </c>
      <c r="B198" s="7">
        <v>45945</v>
      </c>
      <c r="C198" s="8" t="s">
        <v>63</v>
      </c>
      <c r="D198" t="s">
        <v>242</v>
      </c>
      <c r="F198" s="9">
        <f t="shared" si="13"/>
        <v>92059.090909090912</v>
      </c>
      <c r="G198" s="5">
        <f t="shared" si="8"/>
        <v>-92059.090909090912</v>
      </c>
    </row>
    <row r="199" spans="1:8" ht="33">
      <c r="A199" s="19">
        <v>196</v>
      </c>
      <c r="B199" s="7">
        <v>45952</v>
      </c>
      <c r="C199" s="8" t="s">
        <v>62</v>
      </c>
      <c r="D199" t="s">
        <v>243</v>
      </c>
      <c r="F199" s="5">
        <f>520300/2</f>
        <v>260150</v>
      </c>
      <c r="G199" s="5">
        <f t="shared" si="8"/>
        <v>-260150</v>
      </c>
      <c r="H199" s="25" t="s">
        <v>316</v>
      </c>
    </row>
    <row r="200" spans="1:8" ht="17.25">
      <c r="A200" s="19">
        <v>197</v>
      </c>
      <c r="B200" s="7">
        <v>45952</v>
      </c>
      <c r="C200" s="8" t="s">
        <v>62</v>
      </c>
      <c r="D200" t="s">
        <v>244</v>
      </c>
      <c r="F200" s="5">
        <f>520300/2</f>
        <v>260150</v>
      </c>
      <c r="G200" s="5">
        <f t="shared" ref="G200:G247" si="14">E200-F200</f>
        <v>-260150</v>
      </c>
    </row>
    <row r="201" spans="1:8" ht="17.25">
      <c r="A201" s="19">
        <v>198</v>
      </c>
      <c r="B201" s="7">
        <v>45959</v>
      </c>
      <c r="C201" s="8" t="s">
        <v>63</v>
      </c>
      <c r="D201" t="s">
        <v>261</v>
      </c>
      <c r="F201" s="9">
        <f t="shared" si="13"/>
        <v>92059.090909090912</v>
      </c>
      <c r="G201" s="5">
        <f t="shared" si="14"/>
        <v>-92059.090909090912</v>
      </c>
    </row>
    <row r="202" spans="1:8" ht="17.25">
      <c r="A202" s="19">
        <v>199</v>
      </c>
      <c r="B202" s="7">
        <v>45959</v>
      </c>
      <c r="C202" s="8" t="s">
        <v>63</v>
      </c>
      <c r="D202" t="s">
        <v>245</v>
      </c>
      <c r="F202" s="9">
        <f t="shared" si="13"/>
        <v>92059.090909090912</v>
      </c>
      <c r="G202" s="5">
        <f t="shared" si="14"/>
        <v>-92059.090909090912</v>
      </c>
    </row>
    <row r="203" spans="1:8" ht="17.25">
      <c r="A203" s="19">
        <v>200</v>
      </c>
      <c r="B203" s="7">
        <v>45959</v>
      </c>
      <c r="C203" s="8" t="s">
        <v>63</v>
      </c>
      <c r="D203" t="s">
        <v>246</v>
      </c>
      <c r="F203" s="9">
        <f t="shared" si="13"/>
        <v>92059.090909090912</v>
      </c>
      <c r="G203" s="5">
        <f t="shared" si="14"/>
        <v>-92059.090909090912</v>
      </c>
    </row>
    <row r="204" spans="1:8" ht="17.25">
      <c r="A204" s="19">
        <v>201</v>
      </c>
      <c r="B204" s="7">
        <v>45959</v>
      </c>
      <c r="C204" s="8" t="s">
        <v>63</v>
      </c>
      <c r="D204" t="s">
        <v>247</v>
      </c>
      <c r="F204" s="9">
        <f t="shared" si="13"/>
        <v>92059.090909090912</v>
      </c>
      <c r="G204" s="5">
        <f t="shared" si="14"/>
        <v>-92059.090909090912</v>
      </c>
    </row>
    <row r="205" spans="1:8" ht="33">
      <c r="A205" s="19">
        <v>202</v>
      </c>
      <c r="B205" s="7">
        <v>45963</v>
      </c>
      <c r="C205" s="8" t="s">
        <v>62</v>
      </c>
      <c r="D205" t="s">
        <v>248</v>
      </c>
      <c r="F205" s="9">
        <f>1040600/5</f>
        <v>208120</v>
      </c>
      <c r="G205" s="5">
        <f t="shared" si="14"/>
        <v>-208120</v>
      </c>
      <c r="H205" s="25" t="s">
        <v>317</v>
      </c>
    </row>
    <row r="206" spans="1:8" ht="33">
      <c r="A206" s="19">
        <v>203</v>
      </c>
      <c r="B206" s="7">
        <v>45972</v>
      </c>
      <c r="C206" s="8" t="s">
        <v>63</v>
      </c>
      <c r="D206" t="s">
        <v>249</v>
      </c>
      <c r="F206" s="9">
        <f>1012650/5</f>
        <v>202530</v>
      </c>
      <c r="G206" s="5">
        <f t="shared" si="14"/>
        <v>-202530</v>
      </c>
      <c r="H206" s="25" t="s">
        <v>318</v>
      </c>
    </row>
    <row r="207" spans="1:8" ht="17.25">
      <c r="A207" s="19">
        <v>204</v>
      </c>
      <c r="B207" s="7">
        <v>45973</v>
      </c>
      <c r="C207" s="8" t="s">
        <v>62</v>
      </c>
      <c r="D207" t="s">
        <v>250</v>
      </c>
      <c r="F207" s="9">
        <f>1040600/5</f>
        <v>208120</v>
      </c>
      <c r="G207" s="5">
        <f t="shared" si="14"/>
        <v>-208120</v>
      </c>
    </row>
    <row r="208" spans="1:8" ht="17.25">
      <c r="A208" s="19">
        <v>205</v>
      </c>
      <c r="B208" s="7">
        <v>45978</v>
      </c>
      <c r="C208" s="8" t="s">
        <v>63</v>
      </c>
      <c r="D208" t="s">
        <v>263</v>
      </c>
      <c r="F208" s="9">
        <f>1012650/5</f>
        <v>202530</v>
      </c>
      <c r="G208" s="5">
        <f t="shared" si="14"/>
        <v>-202530</v>
      </c>
    </row>
    <row r="209" spans="1:8" ht="17.25">
      <c r="A209" s="19">
        <v>206</v>
      </c>
      <c r="B209" s="7">
        <v>45979</v>
      </c>
      <c r="C209" s="8" t="s">
        <v>63</v>
      </c>
      <c r="D209" t="s">
        <v>251</v>
      </c>
      <c r="F209" s="9">
        <f>1012650/5</f>
        <v>202530</v>
      </c>
      <c r="G209" s="5">
        <f t="shared" si="14"/>
        <v>-202530</v>
      </c>
    </row>
    <row r="210" spans="1:8" ht="17.25">
      <c r="A210" s="19">
        <v>207</v>
      </c>
      <c r="B210" s="7">
        <v>45982</v>
      </c>
      <c r="C210" s="8" t="s">
        <v>63</v>
      </c>
      <c r="D210" t="s">
        <v>252</v>
      </c>
      <c r="F210" s="9">
        <f>1012650/5</f>
        <v>202530</v>
      </c>
      <c r="G210" s="5">
        <f t="shared" si="14"/>
        <v>-202530</v>
      </c>
    </row>
    <row r="211" spans="1:8" ht="17.25">
      <c r="A211" s="19">
        <v>208</v>
      </c>
      <c r="B211" s="7">
        <v>45989</v>
      </c>
      <c r="C211" s="8" t="s">
        <v>63</v>
      </c>
      <c r="D211" t="s">
        <v>253</v>
      </c>
      <c r="F211" s="9">
        <f>1012650/5</f>
        <v>202530</v>
      </c>
      <c r="G211" s="5">
        <f t="shared" si="14"/>
        <v>-202530</v>
      </c>
      <c r="H211" s="6"/>
    </row>
    <row r="212" spans="1:8" ht="17.25">
      <c r="A212" s="19">
        <v>209</v>
      </c>
      <c r="B212" s="7">
        <v>45989</v>
      </c>
      <c r="C212" s="8" t="s">
        <v>62</v>
      </c>
      <c r="D212" t="s">
        <v>254</v>
      </c>
      <c r="F212" s="9">
        <f>1040600/5</f>
        <v>208120</v>
      </c>
      <c r="G212" s="5">
        <f t="shared" si="14"/>
        <v>-208120</v>
      </c>
    </row>
    <row r="213" spans="1:8" ht="17.25">
      <c r="A213" s="19">
        <v>210</v>
      </c>
      <c r="B213" s="7">
        <v>45990</v>
      </c>
      <c r="C213" s="8" t="s">
        <v>62</v>
      </c>
      <c r="D213" t="s">
        <v>255</v>
      </c>
      <c r="F213" s="9">
        <f>1040600/5</f>
        <v>208120</v>
      </c>
      <c r="G213" s="5">
        <f t="shared" si="14"/>
        <v>-208120</v>
      </c>
    </row>
    <row r="214" spans="1:8" ht="17.25">
      <c r="A214" s="19">
        <v>211</v>
      </c>
      <c r="B214" s="7">
        <v>45990</v>
      </c>
      <c r="C214" s="8" t="s">
        <v>62</v>
      </c>
      <c r="D214" t="s">
        <v>256</v>
      </c>
      <c r="F214" s="9">
        <f>1040600/5</f>
        <v>208120</v>
      </c>
      <c r="G214" s="5">
        <f t="shared" si="14"/>
        <v>-208120</v>
      </c>
    </row>
    <row r="215" spans="1:8" ht="33">
      <c r="A215" s="19">
        <v>212</v>
      </c>
      <c r="B215" s="7">
        <v>46024</v>
      </c>
      <c r="C215" s="8" t="s">
        <v>62</v>
      </c>
      <c r="D215" t="s">
        <v>270</v>
      </c>
      <c r="F215" s="9">
        <f>1040600/9</f>
        <v>115622.22222222222</v>
      </c>
      <c r="G215" s="5">
        <f t="shared" si="14"/>
        <v>-115622.22222222222</v>
      </c>
      <c r="H215" s="25" t="s">
        <v>319</v>
      </c>
    </row>
    <row r="216" spans="1:8" ht="17.25">
      <c r="A216" s="19">
        <v>213</v>
      </c>
      <c r="B216" s="7">
        <v>46027</v>
      </c>
      <c r="C216" s="8" t="s">
        <v>62</v>
      </c>
      <c r="D216" t="s">
        <v>285</v>
      </c>
      <c r="F216" s="9">
        <f>1040600/9</f>
        <v>115622.22222222222</v>
      </c>
      <c r="G216" s="5">
        <f t="shared" si="14"/>
        <v>-115622.22222222222</v>
      </c>
    </row>
    <row r="217" spans="1:8" ht="17.25">
      <c r="A217" s="19">
        <v>214</v>
      </c>
      <c r="B217" s="7">
        <v>46030</v>
      </c>
      <c r="C217" s="8" t="s">
        <v>62</v>
      </c>
      <c r="D217" t="s">
        <v>271</v>
      </c>
      <c r="F217" s="9">
        <f>1040600/9</f>
        <v>115622.22222222222</v>
      </c>
      <c r="G217" s="5">
        <f t="shared" si="14"/>
        <v>-115622.22222222222</v>
      </c>
    </row>
    <row r="218" spans="1:8" ht="33">
      <c r="A218" s="19">
        <v>215</v>
      </c>
      <c r="B218" s="7">
        <v>46035</v>
      </c>
      <c r="C218" s="8" t="s">
        <v>62</v>
      </c>
      <c r="D218" s="20" t="s">
        <v>280</v>
      </c>
      <c r="F218" s="9">
        <f>1040600/9</f>
        <v>115622.22222222222</v>
      </c>
      <c r="G218" s="5">
        <f t="shared" si="14"/>
        <v>-115622.22222222222</v>
      </c>
    </row>
    <row r="219" spans="1:8" ht="99">
      <c r="A219" s="19">
        <v>216</v>
      </c>
      <c r="B219" s="7">
        <v>46035</v>
      </c>
      <c r="C219" s="8" t="s">
        <v>62</v>
      </c>
      <c r="D219" s="20" t="s">
        <v>281</v>
      </c>
      <c r="F219" s="9">
        <f>1040600/9</f>
        <v>115622.22222222222</v>
      </c>
      <c r="G219" s="5">
        <f t="shared" si="14"/>
        <v>-115622.22222222222</v>
      </c>
    </row>
    <row r="220" spans="1:8" ht="33">
      <c r="A220" s="19">
        <v>217</v>
      </c>
      <c r="B220" s="7">
        <v>46036</v>
      </c>
      <c r="C220" s="8" t="s">
        <v>63</v>
      </c>
      <c r="D220" t="s">
        <v>272</v>
      </c>
      <c r="F220" s="9">
        <f>1012650/6</f>
        <v>168775</v>
      </c>
      <c r="G220" s="5">
        <f t="shared" si="14"/>
        <v>-168775</v>
      </c>
      <c r="H220" s="25" t="s">
        <v>320</v>
      </c>
    </row>
    <row r="221" spans="1:8" ht="17.25">
      <c r="A221" s="19">
        <v>218</v>
      </c>
      <c r="B221" s="7">
        <v>46036</v>
      </c>
      <c r="C221" s="8" t="s">
        <v>63</v>
      </c>
      <c r="D221" t="s">
        <v>273</v>
      </c>
      <c r="F221" s="9">
        <f>1012650/6</f>
        <v>168775</v>
      </c>
      <c r="G221" s="5">
        <f t="shared" si="14"/>
        <v>-168775</v>
      </c>
    </row>
    <row r="222" spans="1:8" ht="17.25">
      <c r="A222" s="19">
        <v>219</v>
      </c>
      <c r="B222" s="7">
        <v>46036</v>
      </c>
      <c r="C222" s="8" t="s">
        <v>63</v>
      </c>
      <c r="D222" t="s">
        <v>274</v>
      </c>
      <c r="F222" s="9">
        <f>1012650/6</f>
        <v>168775</v>
      </c>
      <c r="G222" s="5">
        <f t="shared" si="14"/>
        <v>-168775</v>
      </c>
    </row>
    <row r="223" spans="1:8" ht="49.5">
      <c r="A223" s="19">
        <v>220</v>
      </c>
      <c r="B223" s="7">
        <v>46038</v>
      </c>
      <c r="C223" s="8" t="s">
        <v>62</v>
      </c>
      <c r="D223" s="20" t="s">
        <v>282</v>
      </c>
      <c r="F223" s="9">
        <f>1040600/9</f>
        <v>115622.22222222222</v>
      </c>
      <c r="G223" s="5">
        <f t="shared" si="14"/>
        <v>-115622.22222222222</v>
      </c>
    </row>
    <row r="224" spans="1:8" ht="17.25">
      <c r="A224" s="19">
        <v>221</v>
      </c>
      <c r="B224" s="7">
        <v>46041</v>
      </c>
      <c r="C224" s="8" t="s">
        <v>62</v>
      </c>
      <c r="D224" t="s">
        <v>275</v>
      </c>
      <c r="F224" s="9">
        <f>1040600/9</f>
        <v>115622.22222222222</v>
      </c>
      <c r="G224" s="5">
        <f t="shared" si="14"/>
        <v>-115622.22222222222</v>
      </c>
    </row>
    <row r="225" spans="1:8" ht="33">
      <c r="A225" s="19">
        <v>222</v>
      </c>
      <c r="B225" s="7">
        <v>46042</v>
      </c>
      <c r="C225" s="8" t="s">
        <v>62</v>
      </c>
      <c r="D225" s="20" t="s">
        <v>283</v>
      </c>
      <c r="F225" s="9">
        <f>1040600/9</f>
        <v>115622.22222222222</v>
      </c>
      <c r="G225" s="5">
        <f t="shared" si="14"/>
        <v>-115622.22222222222</v>
      </c>
    </row>
    <row r="226" spans="1:8" ht="17.25">
      <c r="A226" s="19">
        <v>223</v>
      </c>
      <c r="B226" s="7">
        <v>46042</v>
      </c>
      <c r="C226" s="8" t="s">
        <v>62</v>
      </c>
      <c r="D226" t="s">
        <v>276</v>
      </c>
      <c r="F226" s="9">
        <f>1040600/9</f>
        <v>115622.22222222222</v>
      </c>
      <c r="G226" s="5">
        <f t="shared" si="14"/>
        <v>-115622.22222222222</v>
      </c>
    </row>
    <row r="227" spans="1:8" ht="17.25">
      <c r="A227" s="19">
        <v>224</v>
      </c>
      <c r="B227" s="7">
        <v>46044</v>
      </c>
      <c r="C227" s="8" t="s">
        <v>63</v>
      </c>
      <c r="D227" t="s">
        <v>277</v>
      </c>
      <c r="F227" s="9">
        <f>1012650/6</f>
        <v>168775</v>
      </c>
      <c r="G227" s="5">
        <f t="shared" si="14"/>
        <v>-168775</v>
      </c>
    </row>
    <row r="228" spans="1:8" ht="33">
      <c r="A228" s="19">
        <v>225</v>
      </c>
      <c r="B228" s="7">
        <v>46049</v>
      </c>
      <c r="C228" s="8" t="s">
        <v>64</v>
      </c>
      <c r="D228" t="s">
        <v>284</v>
      </c>
      <c r="F228" s="9">
        <v>576200</v>
      </c>
      <c r="G228" s="5">
        <f t="shared" si="14"/>
        <v>-576200</v>
      </c>
      <c r="H228" s="25" t="s">
        <v>321</v>
      </c>
    </row>
    <row r="229" spans="1:8" ht="17.25">
      <c r="A229" s="19">
        <v>226</v>
      </c>
      <c r="B229" s="7">
        <v>46051</v>
      </c>
      <c r="C229" s="8" t="s">
        <v>63</v>
      </c>
      <c r="D229" t="s">
        <v>278</v>
      </c>
      <c r="F229" s="9">
        <f>1012650/6</f>
        <v>168775</v>
      </c>
      <c r="G229" s="5">
        <f t="shared" si="14"/>
        <v>-168775</v>
      </c>
    </row>
    <row r="230" spans="1:8" ht="17.25">
      <c r="A230" s="19">
        <v>227</v>
      </c>
      <c r="B230" s="7">
        <v>46051</v>
      </c>
      <c r="C230" s="8" t="s">
        <v>63</v>
      </c>
      <c r="D230" t="s">
        <v>279</v>
      </c>
      <c r="F230" s="9">
        <f>1012650/6</f>
        <v>168775</v>
      </c>
      <c r="G230" s="5">
        <f t="shared" si="14"/>
        <v>-168775</v>
      </c>
    </row>
    <row r="231" spans="1:8" ht="33">
      <c r="A231" s="19">
        <v>228</v>
      </c>
      <c r="B231" s="7">
        <v>46054</v>
      </c>
      <c r="C231" s="8" t="s">
        <v>62</v>
      </c>
      <c r="D231" t="s">
        <v>286</v>
      </c>
      <c r="E231" s="22"/>
      <c r="F231" s="22">
        <f>1040600/6</f>
        <v>173433.33333333334</v>
      </c>
      <c r="G231" s="5">
        <f t="shared" si="14"/>
        <v>-173433.33333333334</v>
      </c>
      <c r="H231" s="25" t="s">
        <v>322</v>
      </c>
    </row>
    <row r="232" spans="1:8" ht="33">
      <c r="A232" s="19">
        <v>229</v>
      </c>
      <c r="B232" s="7">
        <v>46056</v>
      </c>
      <c r="C232" s="8" t="s">
        <v>63</v>
      </c>
      <c r="D232" t="s">
        <v>287</v>
      </c>
      <c r="E232" s="22"/>
      <c r="F232" s="22">
        <f>506325/4</f>
        <v>126581.25</v>
      </c>
      <c r="G232" s="5">
        <f t="shared" si="14"/>
        <v>-126581.25</v>
      </c>
      <c r="H232" s="25" t="s">
        <v>323</v>
      </c>
    </row>
    <row r="233" spans="1:8" ht="17.25">
      <c r="A233" s="19">
        <v>230</v>
      </c>
      <c r="B233" s="7">
        <v>46058</v>
      </c>
      <c r="C233" s="8" t="s">
        <v>63</v>
      </c>
      <c r="D233" t="s">
        <v>288</v>
      </c>
      <c r="E233" s="22"/>
      <c r="F233" s="22">
        <f>506325/4</f>
        <v>126581.25</v>
      </c>
      <c r="G233" s="5">
        <f t="shared" si="14"/>
        <v>-126581.25</v>
      </c>
    </row>
    <row r="234" spans="1:8" ht="17.25">
      <c r="A234" s="19">
        <v>231</v>
      </c>
      <c r="B234" s="7">
        <v>46060</v>
      </c>
      <c r="C234" s="8" t="s">
        <v>62</v>
      </c>
      <c r="D234" t="s">
        <v>289</v>
      </c>
      <c r="E234" s="22"/>
      <c r="F234" s="22">
        <f>1040600/6</f>
        <v>173433.33333333334</v>
      </c>
      <c r="G234" s="5">
        <f t="shared" si="14"/>
        <v>-173433.33333333334</v>
      </c>
    </row>
    <row r="235" spans="1:8" ht="17.25">
      <c r="A235" s="19">
        <v>232</v>
      </c>
      <c r="B235" s="7">
        <v>46072</v>
      </c>
      <c r="C235" s="8" t="s">
        <v>62</v>
      </c>
      <c r="D235" t="s">
        <v>290</v>
      </c>
      <c r="E235" s="22"/>
      <c r="F235" s="22">
        <f>1040600/6</f>
        <v>173433.33333333334</v>
      </c>
      <c r="G235" s="5">
        <f t="shared" si="14"/>
        <v>-173433.33333333334</v>
      </c>
    </row>
    <row r="236" spans="1:8" ht="17.25">
      <c r="A236" s="19">
        <v>233</v>
      </c>
      <c r="B236" s="7">
        <v>46076</v>
      </c>
      <c r="C236" s="8" t="s">
        <v>62</v>
      </c>
      <c r="D236" t="s">
        <v>291</v>
      </c>
      <c r="E236" s="22"/>
      <c r="F236" s="22">
        <f>1040600/6</f>
        <v>173433.33333333334</v>
      </c>
      <c r="G236" s="5">
        <f t="shared" si="14"/>
        <v>-173433.33333333334</v>
      </c>
    </row>
    <row r="237" spans="1:8" ht="17.25">
      <c r="A237" s="19">
        <v>234</v>
      </c>
      <c r="B237" s="7">
        <v>46076</v>
      </c>
      <c r="C237" s="8" t="s">
        <v>63</v>
      </c>
      <c r="D237" t="s">
        <v>292</v>
      </c>
      <c r="E237" s="22"/>
      <c r="F237" s="22">
        <f>506325/4</f>
        <v>126581.25</v>
      </c>
      <c r="G237" s="5">
        <f t="shared" si="14"/>
        <v>-126581.25</v>
      </c>
    </row>
    <row r="238" spans="1:8" ht="17.25">
      <c r="A238" s="19">
        <v>235</v>
      </c>
      <c r="B238" s="7">
        <v>46076</v>
      </c>
      <c r="C238" s="8" t="s">
        <v>62</v>
      </c>
      <c r="D238" t="s">
        <v>293</v>
      </c>
      <c r="E238" s="22"/>
      <c r="F238" s="22">
        <f>1040600/6</f>
        <v>173433.33333333334</v>
      </c>
      <c r="G238" s="5">
        <f t="shared" si="14"/>
        <v>-173433.33333333334</v>
      </c>
    </row>
    <row r="239" spans="1:8" ht="17.25">
      <c r="A239" s="19">
        <v>236</v>
      </c>
      <c r="B239" s="7">
        <v>46078</v>
      </c>
      <c r="C239" s="8" t="s">
        <v>62</v>
      </c>
      <c r="D239" t="s">
        <v>294</v>
      </c>
      <c r="E239" s="22"/>
      <c r="F239" s="22">
        <f>1040600/6</f>
        <v>173433.33333333334</v>
      </c>
      <c r="G239" s="5">
        <f t="shared" si="14"/>
        <v>-173433.33333333334</v>
      </c>
    </row>
    <row r="240" spans="1:8" ht="17.25">
      <c r="A240" s="19">
        <v>237</v>
      </c>
      <c r="B240" s="7">
        <v>46080</v>
      </c>
      <c r="C240" s="8" t="s">
        <v>63</v>
      </c>
      <c r="D240" t="s">
        <v>295</v>
      </c>
      <c r="E240" s="22"/>
      <c r="F240" s="22">
        <f>506325/4</f>
        <v>126581.25</v>
      </c>
      <c r="G240" s="5">
        <f t="shared" si="14"/>
        <v>-126581.25</v>
      </c>
    </row>
    <row r="241" spans="1:8" ht="33">
      <c r="A241" s="19">
        <v>238</v>
      </c>
      <c r="B241" s="7">
        <v>46111</v>
      </c>
      <c r="C241" s="8" t="s">
        <v>303</v>
      </c>
      <c r="D241" t="s">
        <v>304</v>
      </c>
      <c r="E241" s="6">
        <v>1199700</v>
      </c>
      <c r="F241" s="21">
        <f>890100*2</f>
        <v>1780200</v>
      </c>
      <c r="G241" s="5">
        <f t="shared" si="14"/>
        <v>-580500</v>
      </c>
      <c r="H241" s="25" t="s">
        <v>305</v>
      </c>
    </row>
    <row r="242" spans="1:8" ht="33">
      <c r="A242" s="19">
        <v>239</v>
      </c>
      <c r="B242" s="7">
        <v>46111</v>
      </c>
      <c r="C242" s="8" t="s">
        <v>214</v>
      </c>
      <c r="D242" t="s">
        <v>296</v>
      </c>
      <c r="E242" s="22">
        <v>1230875</v>
      </c>
      <c r="F242" s="22">
        <v>4079625</v>
      </c>
      <c r="G242" s="5">
        <f t="shared" si="14"/>
        <v>-2848750</v>
      </c>
      <c r="H242" s="25" t="s">
        <v>196</v>
      </c>
    </row>
    <row r="243" spans="1:8" ht="17.25">
      <c r="A243" s="19">
        <v>240</v>
      </c>
      <c r="B243" s="7">
        <v>46111</v>
      </c>
      <c r="C243" s="8" t="s">
        <v>214</v>
      </c>
      <c r="D243" t="s">
        <v>297</v>
      </c>
      <c r="E243" s="22">
        <v>1230875</v>
      </c>
      <c r="F243" s="22">
        <v>4079625</v>
      </c>
      <c r="G243" s="5">
        <f t="shared" si="14"/>
        <v>-2848750</v>
      </c>
    </row>
    <row r="244" spans="1:8" ht="17.25">
      <c r="A244" s="19">
        <v>241</v>
      </c>
      <c r="B244" s="7">
        <v>46111</v>
      </c>
      <c r="C244" s="8" t="s">
        <v>214</v>
      </c>
      <c r="D244" t="s">
        <v>298</v>
      </c>
      <c r="E244" s="22">
        <v>1174975</v>
      </c>
      <c r="F244" s="22">
        <v>4079625</v>
      </c>
      <c r="G244" s="5">
        <f t="shared" si="14"/>
        <v>-2904650</v>
      </c>
    </row>
    <row r="245" spans="1:8" ht="33">
      <c r="A245" s="19">
        <v>242</v>
      </c>
      <c r="B245" s="7">
        <v>46142</v>
      </c>
      <c r="C245" s="8" t="s">
        <v>214</v>
      </c>
      <c r="D245" t="s">
        <v>300</v>
      </c>
      <c r="E245" s="22">
        <v>1230875</v>
      </c>
      <c r="F245" s="22">
        <v>4079625</v>
      </c>
      <c r="G245" s="5">
        <f t="shared" si="14"/>
        <v>-2848750</v>
      </c>
      <c r="H245" s="25" t="s">
        <v>196</v>
      </c>
    </row>
    <row r="246" spans="1:8" ht="17.25">
      <c r="A246" s="19">
        <v>243</v>
      </c>
      <c r="B246" s="7">
        <v>46142</v>
      </c>
      <c r="C246" s="8" t="s">
        <v>214</v>
      </c>
      <c r="D246" t="s">
        <v>301</v>
      </c>
      <c r="E246" s="22">
        <v>1174975</v>
      </c>
      <c r="F246" s="22">
        <v>4079625</v>
      </c>
      <c r="G246" s="5">
        <f t="shared" si="14"/>
        <v>-2904650</v>
      </c>
    </row>
    <row r="247" spans="1:8" ht="17.25">
      <c r="A247" s="19">
        <v>244</v>
      </c>
      <c r="B247" s="7">
        <v>46142</v>
      </c>
      <c r="C247" s="8" t="s">
        <v>214</v>
      </c>
      <c r="D247" t="s">
        <v>302</v>
      </c>
      <c r="E247" s="22">
        <v>1174975</v>
      </c>
      <c r="F247" s="22">
        <v>4079625</v>
      </c>
      <c r="G247" s="5">
        <f t="shared" si="14"/>
        <v>-2904650</v>
      </c>
    </row>
    <row r="248" spans="1:8" ht="115.5">
      <c r="A248" s="19">
        <v>245</v>
      </c>
      <c r="B248" s="7">
        <v>46142</v>
      </c>
      <c r="C248" s="8" t="s">
        <v>299</v>
      </c>
      <c r="D248" s="26" t="s">
        <v>324</v>
      </c>
      <c r="E248" s="22">
        <f>(42*224490)+(258362*2)</f>
        <v>9945304</v>
      </c>
      <c r="F248" s="22">
        <f>(56*224490)+(258362*2)</f>
        <v>13088164</v>
      </c>
      <c r="G248" s="5">
        <f t="shared" ref="G248:G256" si="15">E248-F248</f>
        <v>-3142860</v>
      </c>
      <c r="H248" s="25" t="s">
        <v>325</v>
      </c>
    </row>
    <row r="249" spans="1:8" ht="82.5">
      <c r="A249" s="19">
        <v>246</v>
      </c>
      <c r="B249" s="7">
        <v>46142</v>
      </c>
      <c r="C249" s="8" t="s">
        <v>266</v>
      </c>
      <c r="D249" s="26" t="s">
        <v>326</v>
      </c>
      <c r="E249" s="22">
        <v>2428623</v>
      </c>
      <c r="F249" s="22">
        <f>520300*11</f>
        <v>5723300</v>
      </c>
      <c r="G249" s="5">
        <f t="shared" si="15"/>
        <v>-3294677</v>
      </c>
      <c r="H249" s="25" t="s">
        <v>327</v>
      </c>
    </row>
    <row r="250" spans="1:8" ht="66">
      <c r="A250" s="19">
        <v>247</v>
      </c>
      <c r="B250" s="7">
        <v>46142</v>
      </c>
      <c r="C250" s="8" t="s">
        <v>299</v>
      </c>
      <c r="D250" t="s">
        <v>328</v>
      </c>
      <c r="E250" s="6">
        <v>0</v>
      </c>
      <c r="F250" s="6">
        <f>1623000*1.075</f>
        <v>1744725</v>
      </c>
      <c r="G250" s="5">
        <f t="shared" si="15"/>
        <v>-1744725</v>
      </c>
      <c r="H250" s="25" t="s">
        <v>329</v>
      </c>
    </row>
    <row r="251" spans="1:8" ht="49.5">
      <c r="A251" s="19">
        <v>248</v>
      </c>
      <c r="B251" s="7">
        <v>46142</v>
      </c>
      <c r="C251" s="8" t="s">
        <v>160</v>
      </c>
      <c r="D251" t="s">
        <v>330</v>
      </c>
      <c r="E251" s="6">
        <v>3452900</v>
      </c>
      <c r="F251" s="21">
        <v>8231500</v>
      </c>
      <c r="G251" s="5">
        <f t="shared" si="15"/>
        <v>-4778600</v>
      </c>
      <c r="H251" s="25" t="s">
        <v>332</v>
      </c>
    </row>
    <row r="252" spans="1:8" ht="99">
      <c r="A252" s="19">
        <v>249</v>
      </c>
      <c r="B252" s="7">
        <v>46142</v>
      </c>
      <c r="C252" s="8" t="s">
        <v>160</v>
      </c>
      <c r="D252" t="s">
        <v>331</v>
      </c>
      <c r="E252" s="6">
        <v>3922675</v>
      </c>
      <c r="F252" s="6">
        <f>420325*22</f>
        <v>9247150</v>
      </c>
      <c r="G252" s="5">
        <f t="shared" si="15"/>
        <v>-5324475</v>
      </c>
      <c r="H252" s="25" t="s">
        <v>333</v>
      </c>
    </row>
    <row r="253" spans="1:8" ht="33">
      <c r="A253" s="19">
        <v>250</v>
      </c>
      <c r="B253" s="7">
        <v>46173</v>
      </c>
      <c r="C253" s="8" t="s">
        <v>266</v>
      </c>
      <c r="D253" s="26" t="s">
        <v>326</v>
      </c>
      <c r="E253" s="6">
        <v>603075</v>
      </c>
      <c r="F253" s="6">
        <f>603075*3</f>
        <v>1809225</v>
      </c>
      <c r="G253" s="5">
        <f t="shared" si="15"/>
        <v>-1206150</v>
      </c>
      <c r="H253" s="12" t="s">
        <v>400</v>
      </c>
    </row>
    <row r="254" spans="1:8" ht="17.25">
      <c r="A254" s="19">
        <v>251</v>
      </c>
      <c r="B254" s="7">
        <v>46173</v>
      </c>
      <c r="C254" s="8" t="s">
        <v>299</v>
      </c>
      <c r="D254" t="s">
        <v>397</v>
      </c>
      <c r="E254" s="6">
        <v>0</v>
      </c>
      <c r="F254" s="6">
        <v>701975</v>
      </c>
      <c r="G254" s="5">
        <f t="shared" si="15"/>
        <v>-701975</v>
      </c>
      <c r="H254" s="13" t="s">
        <v>402</v>
      </c>
    </row>
    <row r="255" spans="1:8" ht="231">
      <c r="A255" s="19">
        <v>252</v>
      </c>
      <c r="B255" s="7">
        <v>46203</v>
      </c>
      <c r="C255" s="8" t="s">
        <v>266</v>
      </c>
      <c r="D255" t="s">
        <v>404</v>
      </c>
      <c r="E255" s="6">
        <f>3330000*1.075</f>
        <v>3579750</v>
      </c>
      <c r="F255" s="6">
        <f>((2054000*2)+(705000*1)+(603075*5))*1.075</f>
        <v>8415503.125</v>
      </c>
      <c r="G255" s="5">
        <f t="shared" si="15"/>
        <v>-4835753.125</v>
      </c>
      <c r="H255" s="25" t="s">
        <v>406</v>
      </c>
    </row>
    <row r="256" spans="1:8" ht="231">
      <c r="A256" s="19">
        <v>253</v>
      </c>
      <c r="B256" s="7">
        <v>46234</v>
      </c>
      <c r="C256" s="8" t="s">
        <v>266</v>
      </c>
      <c r="D256" t="s">
        <v>404</v>
      </c>
      <c r="E256" s="6">
        <f>1900000*1.075</f>
        <v>2042500</v>
      </c>
      <c r="F256" s="6">
        <f>(705000+(670000*3)+661000)*1.075</f>
        <v>3629200</v>
      </c>
      <c r="G256" s="5">
        <f t="shared" si="15"/>
        <v>-1586700</v>
      </c>
      <c r="H256" s="25" t="s">
        <v>407</v>
      </c>
    </row>
    <row r="257" spans="1:8" ht="99">
      <c r="A257" s="19">
        <v>254</v>
      </c>
      <c r="B257" s="7">
        <v>46234</v>
      </c>
      <c r="C257" s="8" t="s">
        <v>299</v>
      </c>
      <c r="D257" s="26" t="s">
        <v>408</v>
      </c>
      <c r="E257" s="6">
        <v>0</v>
      </c>
      <c r="F257" s="6">
        <f>1683675*1.075</f>
        <v>1809950.625</v>
      </c>
      <c r="G257" s="5">
        <f>E257-F257</f>
        <v>-1809950.625</v>
      </c>
      <c r="H257" s="25" t="s">
        <v>409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659A7-E959-4978-B918-381906136C89}">
  <dimension ref="A1:E33"/>
  <sheetViews>
    <sheetView tabSelected="1" topLeftCell="A11" workbookViewId="0">
      <selection activeCell="C34" sqref="C34"/>
    </sheetView>
  </sheetViews>
  <sheetFormatPr defaultRowHeight="16.5"/>
  <cols>
    <col min="2" max="2" width="50.875" bestFit="1" customWidth="1"/>
  </cols>
  <sheetData>
    <row r="1" spans="1:5">
      <c r="A1" t="s">
        <v>334</v>
      </c>
      <c r="B1" t="s">
        <v>335</v>
      </c>
      <c r="C1" t="s">
        <v>336</v>
      </c>
      <c r="D1" t="s">
        <v>337</v>
      </c>
      <c r="E1" t="s">
        <v>338</v>
      </c>
    </row>
    <row r="2" spans="1:5">
      <c r="A2" t="s">
        <v>339</v>
      </c>
      <c r="B2" t="s">
        <v>95</v>
      </c>
      <c r="C2" t="s">
        <v>340</v>
      </c>
      <c r="D2" t="s">
        <v>341</v>
      </c>
      <c r="E2" t="s">
        <v>342</v>
      </c>
    </row>
    <row r="3" spans="1:5">
      <c r="A3" t="s">
        <v>339</v>
      </c>
      <c r="B3" t="s">
        <v>1</v>
      </c>
      <c r="C3" t="s">
        <v>343</v>
      </c>
      <c r="D3" t="s">
        <v>341</v>
      </c>
      <c r="E3" t="s">
        <v>342</v>
      </c>
    </row>
    <row r="4" spans="1:5">
      <c r="A4" t="s">
        <v>339</v>
      </c>
      <c r="B4" t="s">
        <v>344</v>
      </c>
      <c r="C4" t="s">
        <v>345</v>
      </c>
      <c r="D4" t="s">
        <v>341</v>
      </c>
      <c r="E4" t="s">
        <v>342</v>
      </c>
    </row>
    <row r="5" spans="1:5">
      <c r="A5" t="s">
        <v>339</v>
      </c>
      <c r="B5" t="s">
        <v>93</v>
      </c>
      <c r="C5" t="s">
        <v>346</v>
      </c>
      <c r="D5" t="s">
        <v>341</v>
      </c>
      <c r="E5" t="s">
        <v>342</v>
      </c>
    </row>
    <row r="6" spans="1:5">
      <c r="A6" t="s">
        <v>339</v>
      </c>
      <c r="B6" t="s">
        <v>7</v>
      </c>
      <c r="C6" t="s">
        <v>347</v>
      </c>
      <c r="D6" t="s">
        <v>341</v>
      </c>
      <c r="E6" t="s">
        <v>342</v>
      </c>
    </row>
    <row r="7" spans="1:5">
      <c r="A7" t="s">
        <v>339</v>
      </c>
      <c r="B7" t="s">
        <v>8</v>
      </c>
      <c r="C7" t="s">
        <v>348</v>
      </c>
      <c r="D7" t="s">
        <v>341</v>
      </c>
      <c r="E7" t="s">
        <v>342</v>
      </c>
    </row>
    <row r="8" spans="1:5">
      <c r="A8" t="s">
        <v>349</v>
      </c>
      <c r="B8" t="s">
        <v>350</v>
      </c>
      <c r="C8" t="s">
        <v>351</v>
      </c>
      <c r="D8" t="s">
        <v>352</v>
      </c>
      <c r="E8" t="s">
        <v>353</v>
      </c>
    </row>
    <row r="9" spans="1:5">
      <c r="A9" t="s">
        <v>349</v>
      </c>
      <c r="B9" t="s">
        <v>354</v>
      </c>
      <c r="C9" t="s">
        <v>355</v>
      </c>
      <c r="D9" t="s">
        <v>352</v>
      </c>
      <c r="E9" t="s">
        <v>353</v>
      </c>
    </row>
    <row r="10" spans="1:5">
      <c r="A10" t="s">
        <v>349</v>
      </c>
      <c r="B10" t="s">
        <v>356</v>
      </c>
      <c r="C10" t="s">
        <v>357</v>
      </c>
      <c r="D10" t="s">
        <v>352</v>
      </c>
      <c r="E10" t="s">
        <v>353</v>
      </c>
    </row>
    <row r="11" spans="1:5">
      <c r="A11" t="s">
        <v>349</v>
      </c>
      <c r="B11" t="s">
        <v>358</v>
      </c>
      <c r="C11" t="s">
        <v>359</v>
      </c>
      <c r="D11" t="s">
        <v>352</v>
      </c>
      <c r="E11" t="s">
        <v>360</v>
      </c>
    </row>
    <row r="12" spans="1:5">
      <c r="A12" t="s">
        <v>349</v>
      </c>
      <c r="B12" t="s">
        <v>361</v>
      </c>
      <c r="C12" t="s">
        <v>362</v>
      </c>
      <c r="D12" t="s">
        <v>341</v>
      </c>
      <c r="E12" t="s">
        <v>342</v>
      </c>
    </row>
    <row r="13" spans="1:5">
      <c r="A13" t="s">
        <v>349</v>
      </c>
      <c r="B13" t="s">
        <v>363</v>
      </c>
      <c r="C13" t="s">
        <v>364</v>
      </c>
      <c r="D13" t="s">
        <v>341</v>
      </c>
      <c r="E13" t="s">
        <v>342</v>
      </c>
    </row>
    <row r="14" spans="1:5">
      <c r="A14" t="s">
        <v>349</v>
      </c>
      <c r="B14" t="s">
        <v>365</v>
      </c>
      <c r="C14" t="s">
        <v>366</v>
      </c>
      <c r="D14" t="s">
        <v>341</v>
      </c>
      <c r="E14" t="s">
        <v>342</v>
      </c>
    </row>
    <row r="15" spans="1:5">
      <c r="A15" t="s">
        <v>349</v>
      </c>
      <c r="B15" t="s">
        <v>367</v>
      </c>
      <c r="C15" t="s">
        <v>368</v>
      </c>
      <c r="D15" t="s">
        <v>341</v>
      </c>
      <c r="E15" t="s">
        <v>342</v>
      </c>
    </row>
    <row r="16" spans="1:5">
      <c r="A16" t="s">
        <v>349</v>
      </c>
      <c r="B16" t="s">
        <v>369</v>
      </c>
      <c r="C16" t="s">
        <v>370</v>
      </c>
      <c r="D16" t="s">
        <v>341</v>
      </c>
      <c r="E16" t="s">
        <v>342</v>
      </c>
    </row>
    <row r="17" spans="1:5">
      <c r="A17" t="s">
        <v>349</v>
      </c>
      <c r="B17" t="s">
        <v>371</v>
      </c>
      <c r="C17" t="s">
        <v>372</v>
      </c>
      <c r="D17" t="s">
        <v>341</v>
      </c>
      <c r="E17" t="s">
        <v>342</v>
      </c>
    </row>
    <row r="18" spans="1:5">
      <c r="A18" t="s">
        <v>349</v>
      </c>
      <c r="B18" t="s">
        <v>373</v>
      </c>
      <c r="C18" t="s">
        <v>374</v>
      </c>
      <c r="D18" t="s">
        <v>341</v>
      </c>
      <c r="E18" t="s">
        <v>342</v>
      </c>
    </row>
    <row r="19" spans="1:5">
      <c r="A19" t="s">
        <v>349</v>
      </c>
      <c r="B19" t="s">
        <v>375</v>
      </c>
      <c r="C19" t="s">
        <v>376</v>
      </c>
      <c r="D19" t="s">
        <v>341</v>
      </c>
      <c r="E19" t="s">
        <v>342</v>
      </c>
    </row>
    <row r="20" spans="1:5">
      <c r="A20" t="s">
        <v>349</v>
      </c>
      <c r="B20" t="s">
        <v>377</v>
      </c>
      <c r="C20" t="s">
        <v>378</v>
      </c>
      <c r="D20" t="s">
        <v>341</v>
      </c>
      <c r="E20" t="s">
        <v>342</v>
      </c>
    </row>
    <row r="21" spans="1:5">
      <c r="A21" t="s">
        <v>349</v>
      </c>
      <c r="B21" t="s">
        <v>379</v>
      </c>
      <c r="C21" t="s">
        <v>345</v>
      </c>
      <c r="D21" t="s">
        <v>341</v>
      </c>
      <c r="E21" t="s">
        <v>342</v>
      </c>
    </row>
    <row r="22" spans="1:5">
      <c r="A22" t="s">
        <v>349</v>
      </c>
      <c r="B22" t="s">
        <v>380</v>
      </c>
      <c r="C22" t="s">
        <v>381</v>
      </c>
      <c r="D22" t="s">
        <v>341</v>
      </c>
      <c r="E22" t="s">
        <v>342</v>
      </c>
    </row>
    <row r="23" spans="1:5">
      <c r="A23" t="s">
        <v>349</v>
      </c>
      <c r="B23" t="s">
        <v>382</v>
      </c>
      <c r="C23" t="s">
        <v>383</v>
      </c>
      <c r="D23" t="s">
        <v>341</v>
      </c>
      <c r="E23" t="s">
        <v>342</v>
      </c>
    </row>
    <row r="24" spans="1:5">
      <c r="A24" t="s">
        <v>349</v>
      </c>
      <c r="B24" t="s">
        <v>384</v>
      </c>
      <c r="C24" t="s">
        <v>385</v>
      </c>
      <c r="D24" t="s">
        <v>341</v>
      </c>
      <c r="E24" t="s">
        <v>342</v>
      </c>
    </row>
    <row r="25" spans="1:5">
      <c r="A25" t="s">
        <v>349</v>
      </c>
      <c r="B25" t="s">
        <v>386</v>
      </c>
      <c r="C25" t="s">
        <v>385</v>
      </c>
      <c r="D25" t="s">
        <v>341</v>
      </c>
      <c r="E25" t="s">
        <v>342</v>
      </c>
    </row>
    <row r="26" spans="1:5">
      <c r="A26" t="s">
        <v>349</v>
      </c>
      <c r="B26" t="s">
        <v>387</v>
      </c>
      <c r="C26" t="s">
        <v>388</v>
      </c>
      <c r="D26" t="s">
        <v>341</v>
      </c>
      <c r="E26" t="s">
        <v>342</v>
      </c>
    </row>
    <row r="27" spans="1:5">
      <c r="A27" t="s">
        <v>349</v>
      </c>
      <c r="B27" t="s">
        <v>389</v>
      </c>
      <c r="C27" t="s">
        <v>390</v>
      </c>
      <c r="D27" t="s">
        <v>341</v>
      </c>
      <c r="E27" t="s">
        <v>342</v>
      </c>
    </row>
    <row r="28" spans="1:5">
      <c r="A28" t="s">
        <v>349</v>
      </c>
      <c r="B28" t="s">
        <v>391</v>
      </c>
      <c r="C28" t="s">
        <v>392</v>
      </c>
      <c r="D28" t="s">
        <v>341</v>
      </c>
      <c r="E28" t="s">
        <v>342</v>
      </c>
    </row>
    <row r="29" spans="1:5">
      <c r="A29" t="s">
        <v>349</v>
      </c>
      <c r="B29" t="s">
        <v>393</v>
      </c>
      <c r="C29" t="s">
        <v>394</v>
      </c>
      <c r="D29" t="s">
        <v>341</v>
      </c>
      <c r="E29" t="s">
        <v>342</v>
      </c>
    </row>
    <row r="30" spans="1:5">
      <c r="A30" t="s">
        <v>349</v>
      </c>
      <c r="B30" t="s">
        <v>395</v>
      </c>
      <c r="C30" t="s">
        <v>396</v>
      </c>
      <c r="D30" t="s">
        <v>341</v>
      </c>
      <c r="E30" t="s">
        <v>342</v>
      </c>
    </row>
    <row r="31" spans="1:5">
      <c r="A31" t="s">
        <v>349</v>
      </c>
      <c r="B31" t="s">
        <v>401</v>
      </c>
      <c r="C31" t="s">
        <v>398</v>
      </c>
      <c r="D31" t="s">
        <v>341</v>
      </c>
      <c r="E31" t="s">
        <v>342</v>
      </c>
    </row>
    <row r="32" spans="1:5">
      <c r="A32" t="s">
        <v>349</v>
      </c>
      <c r="B32" t="s">
        <v>403</v>
      </c>
      <c r="C32" t="s">
        <v>399</v>
      </c>
      <c r="D32" t="s">
        <v>341</v>
      </c>
      <c r="E32" t="s">
        <v>342</v>
      </c>
    </row>
    <row r="33" spans="1:5">
      <c r="A33" t="s">
        <v>349</v>
      </c>
      <c r="B33" t="s">
        <v>405</v>
      </c>
      <c r="C33" s="27" t="s">
        <v>410</v>
      </c>
      <c r="D33" t="s">
        <v>341</v>
      </c>
      <c r="E33" t="s">
        <v>342</v>
      </c>
    </row>
  </sheetData>
  <phoneticPr fontId="1" type="noConversion"/>
  <hyperlinks>
    <hyperlink ref="C31" r:id="rId1" xr:uid="{71E2B0C6-78FF-406C-856F-C1690B1149B8}"/>
    <hyperlink ref="C32" r:id="rId2" xr:uid="{1E12E9E7-786F-4205-8F76-A5EBA74BD8A0}"/>
    <hyperlink ref="C33" r:id="rId3" xr:uid="{E0D64B96-5533-4D85-B229-AA35AEA45C5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262801-934B-4961-B6D3-9CF91C7DC6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절감목록</vt:lpstr>
      <vt:lpstr>하이퍼링크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LGRnD</dc:creator>
  <cp:lastModifiedBy>종근 이</cp:lastModifiedBy>
  <cp:lastPrinted>2025-05-20T00:28:00Z</cp:lastPrinted>
  <dcterms:created xsi:type="dcterms:W3CDTF">2018-05-29T23:17:08Z</dcterms:created>
  <dcterms:modified xsi:type="dcterms:W3CDTF">2026-07-31T06:56:31Z</dcterms:modified>
</cp:coreProperties>
</file>