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C\Desktop\"/>
    </mc:Choice>
  </mc:AlternateContent>
  <xr:revisionPtr revIDLastSave="0" documentId="13_ncr:1_{0D9C4144-6320-4FC8-876F-8AC23B04329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절감목록" sheetId="24" r:id="rId1"/>
    <sheet name="하이퍼링크" sheetId="2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1" i="24" l="1"/>
  <c r="F248" i="24"/>
  <c r="F249" i="24"/>
  <c r="F250" i="24"/>
  <c r="F252" i="24"/>
  <c r="F253" i="24"/>
  <c r="F255" i="24"/>
  <c r="F256" i="24"/>
  <c r="F257" i="24"/>
  <c r="G257" i="24" s="1"/>
  <c r="E256" i="24"/>
  <c r="E255" i="24"/>
  <c r="G255" i="24" l="1"/>
  <c r="G256" i="24"/>
  <c r="G254" i="24"/>
  <c r="G253" i="24"/>
  <c r="G252" i="24"/>
  <c r="G251" i="24" l="1"/>
  <c r="G250" i="24" l="1"/>
  <c r="G249" i="24"/>
  <c r="E248" i="24"/>
  <c r="G247" i="24"/>
  <c r="G246" i="24"/>
  <c r="G245" i="24"/>
  <c r="G244" i="24"/>
  <c r="G243" i="24"/>
  <c r="G242" i="24"/>
  <c r="G241" i="24"/>
  <c r="G240" i="24"/>
  <c r="F240" i="24"/>
  <c r="F239" i="24"/>
  <c r="G239" i="24" s="1"/>
  <c r="F238" i="24"/>
  <c r="G238" i="24" s="1"/>
  <c r="G237" i="24"/>
  <c r="F237" i="24"/>
  <c r="F236" i="24"/>
  <c r="G236" i="24" s="1"/>
  <c r="F235" i="24"/>
  <c r="G235" i="24" s="1"/>
  <c r="F234" i="24"/>
  <c r="G234" i="24" s="1"/>
  <c r="F233" i="24"/>
  <c r="G233" i="24" s="1"/>
  <c r="F232" i="24"/>
  <c r="G232" i="24" s="1"/>
  <c r="F231" i="24"/>
  <c r="G231" i="24" s="1"/>
  <c r="F230" i="24"/>
  <c r="G230" i="24" s="1"/>
  <c r="F229" i="24"/>
  <c r="G229" i="24" s="1"/>
  <c r="G228" i="24"/>
  <c r="F227" i="24"/>
  <c r="G227" i="24" s="1"/>
  <c r="F226" i="24"/>
  <c r="G226" i="24" s="1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G218" i="24"/>
  <c r="F218" i="24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<sst xmlns="http://schemas.openxmlformats.org/spreadsheetml/2006/main" count="790" uniqueCount="411">
  <si>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</si>
  <si>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</si>
  <si>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</si>
  <si>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</si>
  <si>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</si>
  <si>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</si>
  <si>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</si>
  <si>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</si>
  <si>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</si>
  <si>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</si>
  <si>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</si>
  <si>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</si>
  <si>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</si>
  <si>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</si>
  <si>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</si>
  <si>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</si>
  <si>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</si>
  <si>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</si>
  <si>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</si>
  <si>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</si>
  <si>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</si>
  <si>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</si>
  <si>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</si>
  <si>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</si>
  <si>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</si>
  <si>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</si>
  <si>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</si>
  <si>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</si>
  <si>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</si>
  <si>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</si>
  <si>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</si>
  <si>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</si>
  <si>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</si>
  <si>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</si>
  <si>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</si>
  <si>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</si>
  <si>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</si>
  <si>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</si>
  <si>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</si>
  <si>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</si>
  <si>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</si>
  <si>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</si>
  <si>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</si>
  <si>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</si>
  <si>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</si>
  <si>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</si>
  <si>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</si>
  <si>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</si>
  <si>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</si>
  <si>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</si>
  <si>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</si>
  <si>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</si>
  <si>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</si>
  <si>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</si>
  <si>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</si>
  <si>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</si>
  <si>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</si>
  <si>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</si>
  <si>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</si>
  <si>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</si>
  <si>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</si>
  <si>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</si>
  <si>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</si>
  <si>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</si>
  <si>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</si>
  <si>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</si>
  <si>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</si>
  <si>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</si>
  <si>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</si>
  <si>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</si>
  <si>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</si>
  <si>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</si>
  <si>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</si>
  <si>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</si>
  <si>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</si>
  <si>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</si>
  <si>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</si>
  <si>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</si>
  <si>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</si>
  <si>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</si>
  <si>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</si>
  <si>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</si>
  <si>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</si>
  <si>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</si>
  <si>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</si>
  <si>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</si>
  <si>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</si>
  <si>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</si>
  <si>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</si>
  <si>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</si>
  <si>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</si>
  <si>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</si>
  <si>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</si>
  <si>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</si>
  <si>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</si>
  <si>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</si>
  <si>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</si>
  <si>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</si>
  <si>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</si>
  <si>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</si>
  <si>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</si>
  <si>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</si>
  <si>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</si>
  <si>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</si>
  <si>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</si>
  <si>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</si>
  <si>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</si>
  <si>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</si>
  <si>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</si>
  <si>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</si>
  <si>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</si>
  <si>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</si>
  <si>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</si>
  <si>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</si>
  <si>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</si>
  <si>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</si>
  <si>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</si>
  <si>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</si>
  <si>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</si>
  <si>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</si>
  <si>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</si>
  <si>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</si>
  <si>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</si>
  <si>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</si>
  <si>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</si>
  <si>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</si>
  <si>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</si>
  <si>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</si>
  <si>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</si>
  <si>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</si>
  <si>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</si>
  <si>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</si>
  <si>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</si>
  <si>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</si>
  <si>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</si>
  <si>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</si>
  <si>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</si>
  <si>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</si>
  <si>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</si>
  <si>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</si>
  <si>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</si>
  <si>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</si>
  <si>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</si>
  <si>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</si>
  <si>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</si>
  <si>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</si>
  <si>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</si>
  <si>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</si>
  <si>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</si>
  <si>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</si>
  <si>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</si>
  <si>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</si>
  <si>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</si>
  <si>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</si>
  <si>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</si>
  <si>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</si>
  <si>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</si>
  <si>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</si>
  <si>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</si>
  <si>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</si>
  <si>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</si>
  <si>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</si>
  <si>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</si>
  <si>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</si>
  <si>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</si>
  <si>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</si>
  <si>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</si>
  <si>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</si>
  <si>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</si>
  <si>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</si>
  <si>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</si>
  <si>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</si>
  <si>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</si>
  <si>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</si>
  <si>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</si>
  <si>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</si>
  <si>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</si>
  <si>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</si>
  <si>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</si>
  <si>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</si>
  <si>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</si>
  <si>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</si>
  <si>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</si>
  <si>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</si>
  <si>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</si>
  <si>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</si>
  <si>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</si>
  <si>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</si>
  <si>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</si>
  <si>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</si>
  <si>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</si>
  <si>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</si>
  <si>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</si>
  <si>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</si>
  <si>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</si>
  <si>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</si>
  <si>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</si>
  <si>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</si>
  <si>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</si>
  <si>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</si>
  <si>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</si>
  <si>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</si>
  <si>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</si>
  <si>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</si>
  <si>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</si>
  <si>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</si>
  <si>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</si>
  <si>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</si>
  <si>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</si>
  <si>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</si>
  <si>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</si>
  <si>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</si>
  <si>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</si>
  <si>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</si>
  <si>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</si>
  <si>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</si>
  <si>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</si>
  <si>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</si>
  <si>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</si>
  <si>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</si>
  <si>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</si>
  <si>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</si>
  <si>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</si>
  <si>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</si>
  <si>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</si>
  <si>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</si>
  <si>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</si>
  <si>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</si>
  <si>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</si>
  <si>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</si>
  <si>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</si>
  <si>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</si>
  <si>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</si>
  <si>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</si>
  <si>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</si>
  <si>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</si>
  <si>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</si>
  <si>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</si>
  <si>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</si>
  <si>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</si>
  <si>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</si>
  <si>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</si>
  <si>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</si>
  <si>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</si>
  <si>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</si>
  <si>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</si>
  <si>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</si>
  <si>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</si>
  <si>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</si>
  <si>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</si>
  <si>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</si>
  <si>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</si>
  <si>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</si>
  <si>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</si>
  <si>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</si>
  <si>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</si>
  <si>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</si>
  <si>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</si>
  <si>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</si>
  <si>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</si>
  <si>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</si>
  <si>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</si>
  <si>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</si>
  <si>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</si>
  <si>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</si>
  <si>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</si>
  <si>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</si>
  <si>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</si>
  <si>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</si>
  <si>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</si>
  <si>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</si>
  <si>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</si>
  <si>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</si>
  <si>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</si>
  <si>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</si>
  <si>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</si>
  <si>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</si>
  <si>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</si>
  <si>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</si>
  <si>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</si>
  <si>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</si>
  <si>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</si>
  <si>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</si>
  <si>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</si>
  <si>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</si>
  <si>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</si>
  <si>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</si>
  <si>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</si>
  <si>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</si>
  <si>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</si>
  <si>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</si>
  <si>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</si>
  <si>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</si>
  <si>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</si>
  <si>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</si>
  <si>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</si>
  <si>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</si>
  <si>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</si>
  <si>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</si>
  <si>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</si>
  <si>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</si>
  <si>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</si>
  <si>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</si>
  <si>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</si>
  <si>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</si>
  <si>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</si>
  <si>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</si>
  <si>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</si>
  <si>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</si>
  <si>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</si>
  <si>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</si>
  <si>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</si>
  <si>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</si>
  <si>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</si>
  <si>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</si>
  <si>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</si>
  <si>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</si>
  <si>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</si>
  <si>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</si>
  <si>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</si>
  <si>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</si>
  <si>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</si>
  <si>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</si>
  <si>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</si>
  <si>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</si>
  <si>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</si>
  <si>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</si>
  <si>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</si>
  <si>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</si>
  <si>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</si>
  <si>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</si>
  <si>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</si>
  <si>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</si>
  <si>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</si>
  <si>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</si>
  <si>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</si>
  <si>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</si>
  <si>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</si>
  <si>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</si>
  <si>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</si>
  <si>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</si>
  <si>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</si>
  <si>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</si>
  <si>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</si>
  <si>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</si>
  <si>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</si>
  <si>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</si>
  <si>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</si>
  <si>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</si>
  <si>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</si>
  <si>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</si>
  <si>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</si>
  <si>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</si>
  <si>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</si>
  <si>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</si>
  <si>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</si>
  <si>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</si>
  <si>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</si>
  <si>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</si>
  <si>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</si>
  <si>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</si>
  <si>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</si>
  <si>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</si>
  <si>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</si>
  <si>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</si>
  <si>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</si>
  <si>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</si>
  <si>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</si>
  <si>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</si>
  <si>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</si>
  <si>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</si>
  <si>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</si>
  <si>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</si>
  <si>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</si>
  <si>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</si>
  <si>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</si>
  <si>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</si>
  <si>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</si>
  <si>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</si>
  <si>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</si>
  <si>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</si>
  <si>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</si>
  <si>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</si>
  <si>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</si>
  <si>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</si>
  <si>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</si>
  <si>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</si>
  <si>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</si>
  <si>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</si>
  <si>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</si>
  <si>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</si>
  <si>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</si>
  <si>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</si>
  <si>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</si>
  <si>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</si>
  <si>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</si>
  <si>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</si>
  <si>
    <t>어린이집 1층 세면대 수리시 2층 묶음(무상 처리)</t>
    <phoneticPr fontId="1" type="noConversion"/>
  </si>
  <si>
    <t>https://photos.app.goo.gl/ot4t192AUqLwPsMbA</t>
    <phoneticPr fontId="1" type="noConversion"/>
  </si>
  <si>
    <t>https://photos.app.goo.gl/zV6ZG6ftCHqfXy6DA</t>
    <phoneticPr fontId="1" type="noConversion"/>
  </si>
  <si>
    <t>●24년 상반기 1세대 집행비 : 603,075(기계 최소 인건비))
5월 3세대 묶음 : 8-107(분배기)+2-208(건조대)+8-410(건조대)</t>
    <phoneticPr fontId="1" type="noConversion"/>
  </si>
  <si>
    <t>5월 3세대 묶음</t>
    <phoneticPr fontId="1" type="noConversion"/>
  </si>
  <si>
    <t>5월 어린이집 2층 세면대 수리 : 70,1975원</t>
    <phoneticPr fontId="1" type="noConversion"/>
  </si>
  <si>
    <t>5월 어린이집 2층</t>
    <phoneticPr fontId="1" type="noConversion"/>
  </si>
  <si>
    <t>기숙사 및 사택 긴급 보수(기계)-2차</t>
    <phoneticPr fontId="1" type="noConversion"/>
  </si>
  <si>
    <r>
      <t xml:space="preserve">●●● 냉온수 수전=2건/위생도기=3건/분배기=4건/건조대=1건
◎6월10일~11일(2일)간_7인 묶음 작업
-2-105(분배기 교체)/7-104 (양변기 교체)
-8-107(세탁기 냉온수 수전)/8-107(세면기 교체)
-8-207(세탁기 냉온수 수전)/8-207(양변기 교체)
-8-207(분배기 교체)/8-207(빨래 건조대 설치)
-8-504(분배기 교체)/9-301(분배기 교체) 
※※※07월~08월말 절감액 확정 예정
</t>
    </r>
    <r>
      <rPr>
        <sz val="11"/>
        <color theme="1"/>
        <rFont val="맑은 고딕"/>
        <family val="3"/>
        <charset val="129"/>
        <scheme val="minor"/>
      </rPr>
      <t>→산식=((3,330,000)*1.075(Fee)_실투입 적용후 취합(배포중)</t>
    </r>
    <r>
      <rPr>
        <sz val="11"/>
        <color theme="1"/>
        <rFont val="맑은 고딕"/>
        <family val="2"/>
        <charset val="129"/>
        <scheme val="minor"/>
      </rPr>
      <t xml:space="preserve">
◆◆◆접수견적 기준
-세탁기용 냉온수 수전 및 세면대 교체 : 1건당=&gt; 2,054,000(견적 접수)
-위생도기 교체 : 1건당 =&gt; 705,000 (견적 접수)
-난방분배기 및 빨래건조대 : 1건당 =&gt; 603,075(최소인건비)
▶산식=((2,054,000*2)+(705,000*1)+(603,075*5))*1.075(Fee)</t>
    </r>
    <phoneticPr fontId="1" type="noConversion"/>
  </si>
  <si>
    <t>●●● 소변기=3건/분배기=3건/세면대=1건
◎7월20일~21일(2일)간_4인 묶음 작업
-2-408(세면대 1대 교체)
-5동 경비실 (소변기 1대 교체)
-8-302(분배기 교체)
-8-508(분배기 교체)
-9-402(분배기 교체)
※※※07월~08월말 절감액 확정 예정
▶산식=((1,900,000)*1.075(Fee)_실투입 적용후 취합(배포중)
◆◆◆접수견적 기준
-5동 경비실 소변기 교체=&gt;705,000(접수 견적)
-난방 분배기 1대 교체=&gt;670,000(접수 견적)
-세대기 1대 교체=&gt;661,000(접수 견적)
▶산식=(705,000+(670,000*3)+661,000)*1.075(Fee)</t>
    <phoneticPr fontId="1" type="noConversion"/>
  </si>
  <si>
    <t>기숙사 및 사택 긴급 보수(건축)-3차</t>
    <phoneticPr fontId="1" type="noConversion"/>
  </si>
  <si>
    <t>■ 26년 건축 긴급 대응 4월-7월 정산 현황
◆◆◆접수견적 기준
◎ '26년 상반기 공종별 노임단가
→특별인부: 224,490원/도장공:258,362원
→관리소 관리 대장 근로자 서명란 서명: 58인
→시공사 관리자 실비 청구 인원(검증): 44인</t>
    <phoneticPr fontId="1" type="noConversion"/>
  </si>
  <si>
    <t>https://photos.app.goo.gl/G9ukt2jxvymdFxFD6</t>
    <phoneticPr fontId="1" type="noConversion"/>
  </si>
  <si>
    <t>◆◆◆접수견적 기준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</si>
</sst>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  <xf numFmtId="41" fontId="0" fillId="0" borderId="0" xfId="1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hotos.app.goo.gl/G9ukt2jxvymdFxFD6" TargetMode="External"/><Relationship Id="rId2" Type="http://schemas.openxmlformats.org/officeDocument/2006/relationships/hyperlink" Target="https://photos.app.goo.gl/zV6ZG6ftCHqfXy6DA" TargetMode="External"/><Relationship Id="rId1" Type="http://schemas.openxmlformats.org/officeDocument/2006/relationships/hyperlink" Target="https://photos.app.goo.gl/ot4t192AUqLwPs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8"/>
  <sheetViews>
    <sheetView tabSelected="1" zoomScaleNormal="100" workbookViewId="0">
      <pane xSplit="1" ySplit="3" topLeftCell="B227" activePane="bottomRight" state="frozen"/>
      <selection activeCell="H24" sqref="H24"/>
      <selection pane="topRight" activeCell="H24" sqref="H24"/>
      <selection pane="bottomLeft" activeCell="H24" sqref="H24"/>
      <selection pane="bottomRight" activeCell="F232" sqref="F232"/>
    </sheetView>
  </sheetViews>
  <sheetFormatPr defaultRowHeight="17.399999999999999"/>
  <cols>
    <col min="1" max="1" width="6.09765625" style="19" customWidth="1"/>
    <col min="2" max="2" width="13.59765625" bestFit="1" customWidth="1"/>
    <col min="3" max="3" width="21.19921875" customWidth="1"/>
    <col min="4" max="4" width="45.5" customWidth="1"/>
    <col min="5" max="5" width="12.59765625" style="6" bestFit="1" customWidth="1"/>
    <col min="6" max="6" width="13.8984375" customWidth="1"/>
    <col min="7" max="7" width="14.69921875" customWidth="1"/>
    <col min="8" max="8" width="64.09765625" style="13" customWidth="1"/>
    <col min="9" max="9" width="10.1992187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9.2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9.2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4.799999999999997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9.2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52.2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9.2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52.2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52.2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52.2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9.2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9.2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9.2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52.2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52.2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9.2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9.2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4.799999999999997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9.2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9.2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9.2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9.2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9.2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9.2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9.2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9.2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9.2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9.2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21.8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9.2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21.8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21.8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9.2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9.2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9.2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21.8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9.2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9.2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21.8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9.2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4.799999999999997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4.799999999999997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9.2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52.2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9.2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9.2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4.799999999999997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52.2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9.2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9.2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4.799999999999997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52.2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9.2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21.8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9.2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52.2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9.2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21.8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9.2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9.2">
      <c r="A62" s="19">
        <v>59</v>
      </c>
      <c r="B62" s="7"/>
      <c r="C62" s="8"/>
      <c r="E62" s="9"/>
      <c r="F62" s="5"/>
      <c r="G62" s="5"/>
      <c r="H62" s="12"/>
    </row>
    <row r="63" spans="1:8" ht="34.799999999999997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9.2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4.799999999999997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9.2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9.2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21.8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9.2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9.2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4.799999999999997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9.2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21.8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9.2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52.2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4.799999999999997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4.799999999999997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4.799999999999997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4.799999999999997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4.799999999999997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4.799999999999997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4.799999999999997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4.799999999999997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4.799999999999997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4.799999999999997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9.599999999999994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9.599999999999994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52.2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52.2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52.2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4.799999999999997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52.2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52.2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52.2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9.599999999999994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52.2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4.799999999999997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4.799999999999997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9.2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9.2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4.799999999999997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9.2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9.2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9.2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9.2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9.2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9.2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9.2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9.2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4.799999999999997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9.2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9.2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4.799999999999997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9.2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9.2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9.2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9.2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9.2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9.2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9.2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9.2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9.2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9.2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9.2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9.2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9.2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4.799999999999997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4.799999999999997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9.2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9.2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9.2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9.2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9.2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9.2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9.2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4.799999999999997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9.2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9.2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9.2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9.2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9.2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4.799999999999997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9.2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9.2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9.2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9.2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9.2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4.799999999999997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9.2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9.2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9.2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9.2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9.2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9.2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9.2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9.2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9.2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9.2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4.799999999999997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9.2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9.2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9.2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9.2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9.2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4.799999999999997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9.2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9.2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9.2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9.2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9.2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4.799999999999997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4.799999999999997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9.2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9.2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4.799999999999997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9.2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9.2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9.2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9.2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9.2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4.799999999999997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9.2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4.799999999999997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4.799999999999997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4.799999999999997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9.2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4.799999999999997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4.799999999999997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9.2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9.2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9.2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9.2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9.2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34.799999999999997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9.2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4.799999999999997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9.2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9.2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4.799999999999997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9.2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9.2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9.2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9.2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9.2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4.799999999999997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4.799999999999997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9.2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9.2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9.2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9.2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9.2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9.2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9.2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9.2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4.799999999999997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9.2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9.2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4.799999999999997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104.4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4.799999999999997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9.2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9.2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52.2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9.2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4.799999999999997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9.2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9.2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4.799999999999997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9.2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9.2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4.799999999999997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4.799999999999997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9.2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9.2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9.2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9.2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9.2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9.2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9.2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9.2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4.799999999999997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ROUNDDOWN(890100*2,0)</f>
        <v>1780200</v>
      </c>
      <c r="G241" s="5">
        <f t="shared" si="14"/>
        <v>-580500</v>
      </c>
      <c r="H241" s="25" t="s">
        <v>305</v>
      </c>
    </row>
    <row r="242" spans="1:8" ht="34.799999999999997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9.2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9.2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4.799999999999997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9.2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9.2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21.8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ROUNDDOWN((56*224490)+(258362*2),0)</f>
        <v>13088164</v>
      </c>
      <c r="G248" s="5">
        <f t="shared" ref="G248:G256" si="15">E248-F248</f>
        <v>-3142860</v>
      </c>
      <c r="H248" s="25" t="s">
        <v>325</v>
      </c>
    </row>
    <row r="249" spans="1:8" ht="87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ROUNDDOWN(520300*11,0)</f>
        <v>5723300</v>
      </c>
      <c r="G249" s="5">
        <f t="shared" si="15"/>
        <v>-3294677</v>
      </c>
      <c r="H249" s="25" t="s">
        <v>327</v>
      </c>
    </row>
    <row r="250" spans="1:8" ht="69.599999999999994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ROUNDDOWN(1623000*1.075,0)</f>
        <v>1744725</v>
      </c>
      <c r="G250" s="5">
        <f t="shared" si="15"/>
        <v>-1744725</v>
      </c>
      <c r="H250" s="25" t="s">
        <v>329</v>
      </c>
    </row>
    <row r="251" spans="1:8" ht="52.2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 t="shared" si="15"/>
        <v>-4778600</v>
      </c>
      <c r="H251" s="25" t="s">
        <v>332</v>
      </c>
    </row>
    <row r="252" spans="1:8" ht="104.4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ROUNDDOWN(420325*22,0)</f>
        <v>9247150</v>
      </c>
      <c r="G252" s="5">
        <f t="shared" si="15"/>
        <v>-5324475</v>
      </c>
      <c r="H252" s="25" t="s">
        <v>333</v>
      </c>
    </row>
    <row r="253" spans="1:8" ht="34.799999999999997">
      <c r="A253" s="19">
        <v>250</v>
      </c>
      <c r="B253" s="7">
        <v>46173</v>
      </c>
      <c r="C253" s="8" t="s">
        <v>266</v>
      </c>
      <c r="D253" s="26" t="s">
        <v>326</v>
      </c>
      <c r="E253" s="6">
        <v>603075</v>
      </c>
      <c r="F253" s="6">
        <f>ROUNDDOWN(603075*3,0)</f>
        <v>1809225</v>
      </c>
      <c r="G253" s="5">
        <f t="shared" si="15"/>
        <v>-1206150</v>
      </c>
      <c r="H253" s="12" t="s">
        <v>400</v>
      </c>
    </row>
    <row r="254" spans="1:8" ht="19.2">
      <c r="A254" s="19">
        <v>251</v>
      </c>
      <c r="B254" s="7">
        <v>46173</v>
      </c>
      <c r="C254" s="8" t="s">
        <v>299</v>
      </c>
      <c r="D254" t="s">
        <v>397</v>
      </c>
      <c r="E254" s="6">
        <v>0</v>
      </c>
      <c r="F254" s="6">
        <v>701975</v>
      </c>
      <c r="G254" s="5">
        <f t="shared" si="15"/>
        <v>-701975</v>
      </c>
      <c r="H254" s="13" t="s">
        <v>402</v>
      </c>
    </row>
    <row r="255" spans="1:8" ht="243.6">
      <c r="A255" s="19">
        <v>252</v>
      </c>
      <c r="B255" s="7">
        <v>46203</v>
      </c>
      <c r="C255" s="8" t="s">
        <v>266</v>
      </c>
      <c r="D255" t="s">
        <v>404</v>
      </c>
      <c r="E255" s="6">
        <f>3330000*1.075</f>
        <v>3579750</v>
      </c>
      <c r="F255" s="6">
        <f>ROUNDDOWN(((2054000*2)+(705000*1)+(603075*5))*1.075,0)</f>
        <v>8415503</v>
      </c>
      <c r="G255" s="5">
        <f t="shared" si="15"/>
        <v>-4835753</v>
      </c>
      <c r="H255" s="25" t="s">
        <v>405</v>
      </c>
    </row>
    <row r="256" spans="1:8" ht="243.6">
      <c r="A256" s="19">
        <v>253</v>
      </c>
      <c r="B256" s="7">
        <v>46234</v>
      </c>
      <c r="C256" s="8" t="s">
        <v>266</v>
      </c>
      <c r="D256" t="s">
        <v>404</v>
      </c>
      <c r="E256" s="6">
        <f>1900000*1.075</f>
        <v>2042500</v>
      </c>
      <c r="F256" s="6">
        <f>ROUNDDOWN((705000+(670000*3)+661000)*1.075,0)</f>
        <v>3629200</v>
      </c>
      <c r="G256" s="5">
        <f t="shared" si="15"/>
        <v>-1586700</v>
      </c>
      <c r="H256" s="25" t="s">
        <v>406</v>
      </c>
    </row>
    <row r="257" spans="1:8" ht="104.4">
      <c r="A257" s="19">
        <v>254</v>
      </c>
      <c r="B257" s="7">
        <v>46234</v>
      </c>
      <c r="C257" s="8" t="s">
        <v>299</v>
      </c>
      <c r="D257" s="26" t="s">
        <v>407</v>
      </c>
      <c r="E257" s="6">
        <v>0</v>
      </c>
      <c r="F257" s="27">
        <f>ROUNDDOWN(1683675*1.075, 0)</f>
        <v>1809950</v>
      </c>
      <c r="G257" s="5">
        <f>E257-F257</f>
        <v>-1809950</v>
      </c>
      <c r="H257" s="25" t="s">
        <v>408</v>
      </c>
    </row>
    <row r="258" spans="1:8">
      <c r="F258" s="2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3"/>
  <sheetViews>
    <sheetView topLeftCell="A23" workbookViewId="0">
      <selection activeCell="C33" sqref="C33"/>
    </sheetView>
  </sheetViews>
  <sheetFormatPr defaultRowHeight="17.399999999999999"/>
  <cols>
    <col min="2" max="2" width="50.8984375" bestFit="1" customWidth="1"/>
  </cols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  <row r="31" spans="1:5">
      <c r="A31" t="s">
        <v>349</v>
      </c>
      <c r="B31" t="s">
        <v>401</v>
      </c>
      <c r="C31" t="s">
        <v>398</v>
      </c>
      <c r="D31" t="s">
        <v>341</v>
      </c>
      <c r="E31" t="s">
        <v>342</v>
      </c>
    </row>
    <row r="32" spans="1:5">
      <c r="A32" t="s">
        <v>349</v>
      </c>
      <c r="B32" t="s">
        <v>403</v>
      </c>
      <c r="C32" t="s">
        <v>399</v>
      </c>
      <c r="D32" t="s">
        <v>341</v>
      </c>
      <c r="E32" t="s">
        <v>342</v>
      </c>
    </row>
    <row r="33" spans="1:5">
      <c r="A33" t="s">
        <v>349</v>
      </c>
      <c r="B33" t="s">
        <v>410</v>
      </c>
      <c r="C33" t="s">
        <v>409</v>
      </c>
      <c r="D33" t="s">
        <v>341</v>
      </c>
      <c r="E33" t="s">
        <v>342</v>
      </c>
    </row>
  </sheetData>
  <phoneticPr fontId="1" type="noConversion"/>
  <hyperlinks>
    <hyperlink ref="C31" r:id="rId1" xr:uid="{71E2B0C6-78FF-406C-856F-C1690B1149B8}"/>
    <hyperlink ref="C32" r:id="rId2" xr:uid="{1E12E9E7-786F-4205-8F76-A5EBA74BD8A0}"/>
    <hyperlink ref="C33" r:id="rId3" xr:uid="{E0D64B96-5533-4D85-B229-AA35AEA45C54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절감목록</vt:lpstr>
      <vt:lpstr>하이퍼링크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ms22192</cp:lastModifiedBy>
  <cp:lastPrinted>2025-05-20T00:28:00Z</cp:lastPrinted>
  <dcterms:created xsi:type="dcterms:W3CDTF">2018-05-29T23:17:08Z</dcterms:created>
  <dcterms:modified xsi:type="dcterms:W3CDTF">2026-07-31T10:58:37Z</dcterms:modified>
</cp:coreProperties>
</file>